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mel bilgisayar\"/>
    </mc:Choice>
  </mc:AlternateContent>
  <bookViews>
    <workbookView xWindow="0" yWindow="0" windowWidth="20736" windowHeight="9096"/>
  </bookViews>
  <sheets>
    <sheet name="anasayfa" sheetId="10" r:id="rId1"/>
    <sheet name="alış" sheetId="1" r:id="rId2"/>
    <sheet name="stok" sheetId="6" r:id="rId3"/>
    <sheet name="satış" sheetId="2" r:id="rId4"/>
    <sheet name="Yıllık Rapor" sheetId="11" r:id="rId5"/>
    <sheet name="Aylık Rapor" sheetId="4" r:id="rId6"/>
    <sheet name="giderler" sheetId="3" r:id="rId7"/>
    <sheet name="Günlük Rapor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F42" i="6" l="1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E22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3" i="6"/>
  <c r="D4" i="6"/>
  <c r="D2" i="6"/>
  <c r="C8" i="6"/>
  <c r="E8" i="6" s="1"/>
  <c r="C9" i="6"/>
  <c r="E9" i="6" s="1"/>
  <c r="C10" i="6"/>
  <c r="E10" i="6" s="1"/>
  <c r="C11" i="6"/>
  <c r="E11" i="6" s="1"/>
  <c r="C12" i="6"/>
  <c r="E12" i="6" s="1"/>
  <c r="C13" i="6"/>
  <c r="E13" i="6" s="1"/>
  <c r="C14" i="6"/>
  <c r="E14" i="6" s="1"/>
  <c r="C15" i="6"/>
  <c r="E15" i="6" s="1"/>
  <c r="C16" i="6"/>
  <c r="E16" i="6" s="1"/>
  <c r="C17" i="6"/>
  <c r="E17" i="6" s="1"/>
  <c r="C18" i="6"/>
  <c r="E18" i="6" s="1"/>
  <c r="C19" i="6"/>
  <c r="E19" i="6" s="1"/>
  <c r="C20" i="6"/>
  <c r="E20" i="6" s="1"/>
  <c r="C21" i="6"/>
  <c r="E21" i="6" s="1"/>
  <c r="C22" i="6"/>
  <c r="C23" i="6"/>
  <c r="E23" i="6" s="1"/>
  <c r="C24" i="6"/>
  <c r="E24" i="6" s="1"/>
  <c r="C25" i="6"/>
  <c r="E25" i="6" s="1"/>
  <c r="C26" i="6"/>
  <c r="E26" i="6" s="1"/>
  <c r="C27" i="6"/>
  <c r="E27" i="6" s="1"/>
  <c r="C28" i="6"/>
  <c r="E28" i="6" s="1"/>
  <c r="C29" i="6"/>
  <c r="E29" i="6" s="1"/>
  <c r="C30" i="6"/>
  <c r="E30" i="6" s="1"/>
  <c r="C31" i="6"/>
  <c r="E31" i="6" s="1"/>
  <c r="C32" i="6"/>
  <c r="E32" i="6" s="1"/>
  <c r="C33" i="6"/>
  <c r="E33" i="6" s="1"/>
  <c r="C34" i="6"/>
  <c r="E34" i="6" s="1"/>
  <c r="C35" i="6"/>
  <c r="E35" i="6" s="1"/>
  <c r="C36" i="6"/>
  <c r="E36" i="6" s="1"/>
  <c r="C37" i="6"/>
  <c r="E37" i="6" s="1"/>
  <c r="C38" i="6"/>
  <c r="E38" i="6" s="1"/>
  <c r="C39" i="6"/>
  <c r="E39" i="6" s="1"/>
  <c r="C40" i="6"/>
  <c r="E40" i="6" s="1"/>
  <c r="C41" i="6"/>
  <c r="E41" i="6" s="1"/>
  <c r="C42" i="6"/>
  <c r="E42" i="6" s="1"/>
  <c r="C3" i="6"/>
  <c r="E3" i="6" s="1"/>
  <c r="C4" i="6"/>
  <c r="E4" i="6" s="1"/>
  <c r="C5" i="6"/>
  <c r="E5" i="6" s="1"/>
  <c r="C6" i="6"/>
  <c r="E6" i="6" s="1"/>
  <c r="C7" i="6"/>
  <c r="E7" i="6" s="1"/>
  <c r="C2" i="6"/>
  <c r="E2" i="6" s="1"/>
  <c r="F2" i="2"/>
  <c r="A14" i="2"/>
  <c r="C5" i="4" l="1"/>
  <c r="E3" i="3"/>
  <c r="E4" i="3"/>
  <c r="E5" i="3"/>
  <c r="E6" i="3"/>
  <c r="E7" i="3"/>
  <c r="E8" i="3"/>
  <c r="E9" i="3"/>
  <c r="E10" i="3"/>
  <c r="F3" i="3"/>
  <c r="F4" i="3"/>
  <c r="F5" i="3"/>
  <c r="F6" i="3"/>
  <c r="F7" i="3"/>
  <c r="F8" i="3"/>
  <c r="F9" i="3"/>
  <c r="F10" i="3"/>
  <c r="F11" i="3"/>
  <c r="F2" i="3"/>
  <c r="E11" i="3"/>
  <c r="E2" i="3"/>
  <c r="I4" i="2"/>
  <c r="I5" i="2"/>
  <c r="I7" i="2"/>
  <c r="I8" i="2"/>
  <c r="I9" i="2"/>
  <c r="I10" i="2"/>
  <c r="I11" i="2"/>
  <c r="I12" i="2"/>
  <c r="A13" i="2"/>
  <c r="I13" i="2" s="1"/>
  <c r="I14" i="2"/>
  <c r="A15" i="2"/>
  <c r="I15" i="2" s="1"/>
  <c r="A16" i="2"/>
  <c r="I16" i="2" s="1"/>
  <c r="A17" i="2"/>
  <c r="I17" i="2" s="1"/>
  <c r="A18" i="2"/>
  <c r="I18" i="2" s="1"/>
  <c r="A19" i="2"/>
  <c r="I19" i="2" s="1"/>
  <c r="A20" i="2"/>
  <c r="I20" i="2" s="1"/>
  <c r="A21" i="2"/>
  <c r="I21" i="2" s="1"/>
  <c r="A22" i="2"/>
  <c r="I22" i="2" s="1"/>
  <c r="A23" i="2"/>
  <c r="I23" i="2" s="1"/>
  <c r="A24" i="2"/>
  <c r="I24" i="2" s="1"/>
  <c r="A25" i="2"/>
  <c r="I25" i="2" s="1"/>
  <c r="A26" i="2"/>
  <c r="I26" i="2" s="1"/>
  <c r="A27" i="2"/>
  <c r="I27" i="2" s="1"/>
  <c r="A28" i="2"/>
  <c r="I28" i="2" s="1"/>
  <c r="A29" i="2"/>
  <c r="I29" i="2" s="1"/>
  <c r="A30" i="2"/>
  <c r="I30" i="2" s="1"/>
  <c r="A31" i="2"/>
  <c r="I31" i="2" s="1"/>
  <c r="A32" i="2"/>
  <c r="I32" i="2" s="1"/>
  <c r="A33" i="2"/>
  <c r="I33" i="2" s="1"/>
  <c r="A34" i="2"/>
  <c r="I34" i="2" s="1"/>
  <c r="A35" i="2"/>
  <c r="I35" i="2" s="1"/>
  <c r="A36" i="2"/>
  <c r="I36" i="2" s="1"/>
  <c r="A37" i="2"/>
  <c r="I37" i="2" s="1"/>
  <c r="A38" i="2"/>
  <c r="I38" i="2" s="1"/>
  <c r="A39" i="2"/>
  <c r="I39" i="2" s="1"/>
  <c r="A40" i="2"/>
  <c r="I40" i="2" s="1"/>
  <c r="A41" i="2"/>
  <c r="I41" i="2" s="1"/>
  <c r="A42" i="2"/>
  <c r="I42" i="2" s="1"/>
  <c r="I2" i="2"/>
  <c r="C7" i="3"/>
  <c r="J42" i="2" l="1"/>
  <c r="J38" i="2"/>
  <c r="J34" i="2"/>
  <c r="J30" i="2"/>
  <c r="J26" i="2"/>
  <c r="J22" i="2"/>
  <c r="J18" i="2"/>
  <c r="J14" i="2"/>
  <c r="J10" i="2"/>
  <c r="J41" i="2"/>
  <c r="J37" i="2"/>
  <c r="J33" i="2"/>
  <c r="J29" i="2"/>
  <c r="J25" i="2"/>
  <c r="J21" i="2"/>
  <c r="J17" i="2"/>
  <c r="J13" i="2"/>
  <c r="J9" i="2"/>
  <c r="J5" i="2"/>
  <c r="J40" i="2"/>
  <c r="J36" i="2"/>
  <c r="J32" i="2"/>
  <c r="J28" i="2"/>
  <c r="J24" i="2"/>
  <c r="J20" i="2"/>
  <c r="J16" i="2"/>
  <c r="J12" i="2"/>
  <c r="J8" i="2"/>
  <c r="J4" i="2"/>
  <c r="J39" i="2"/>
  <c r="J35" i="2"/>
  <c r="J31" i="2"/>
  <c r="J27" i="2"/>
  <c r="J23" i="2"/>
  <c r="J19" i="2"/>
  <c r="J15" i="2"/>
  <c r="J11" i="2"/>
  <c r="J7" i="2"/>
  <c r="J2" i="2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E37" i="2"/>
  <c r="E38" i="2"/>
  <c r="E39" i="2"/>
  <c r="E40" i="2"/>
  <c r="E41" i="2"/>
  <c r="E42" i="2"/>
  <c r="D37" i="2"/>
  <c r="D38" i="2"/>
  <c r="D39" i="2"/>
  <c r="D40" i="2"/>
  <c r="D41" i="2"/>
  <c r="D42" i="2"/>
  <c r="C37" i="2"/>
  <c r="C38" i="2"/>
  <c r="C39" i="2"/>
  <c r="C40" i="2"/>
  <c r="C41" i="2"/>
  <c r="C42" i="2"/>
  <c r="F21" i="2" l="1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E2" i="2"/>
  <c r="D2" i="2"/>
  <c r="C2" i="2"/>
  <c r="H2" i="2" l="1"/>
  <c r="C4" i="4" s="1"/>
  <c r="C6" i="4" l="1"/>
  <c r="B2" i="11" s="1"/>
  <c r="B4" i="11" s="1"/>
</calcChain>
</file>

<file path=xl/sharedStrings.xml><?xml version="1.0" encoding="utf-8"?>
<sst xmlns="http://schemas.openxmlformats.org/spreadsheetml/2006/main" count="600" uniqueCount="136">
  <si>
    <t>Ürün Kodu</t>
  </si>
  <si>
    <t>Tür</t>
  </si>
  <si>
    <t>Cins</t>
  </si>
  <si>
    <t>Ürün Adı</t>
  </si>
  <si>
    <t>Alış Fiyatı</t>
  </si>
  <si>
    <t>Satış Fiyatı</t>
  </si>
  <si>
    <t>Birim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</si>
  <si>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</si>
  <si>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</si>
  <si>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</si>
  <si>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</si>
  <si>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</si>
  <si>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</si>
  <si>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</si>
  <si>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</si>
  <si>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</si>
  <si>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</si>
  <si>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</si>
  <si>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</si>
  <si>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</si>
  <si>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</si>
  <si>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</si>
  <si>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</si>
  <si>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</si>
  <si>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</si>
  <si>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</si>
  <si>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</si>
  <si>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</si>
  <si>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</si>
  <si>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</si>
  <si>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</si>
  <si>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</si>
  <si>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</si>
  <si>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</si>
  <si>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</si>
  <si>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</si>
  <si>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</si>
  <si>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</si>
  <si>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</si>
  <si>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</si>
  <si>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</si>
  <si>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</si>
  <si>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Meyve</t>
  </si>
  <si>
    <t>Elma</t>
  </si>
  <si>
    <t>Golden</t>
  </si>
  <si>
    <t>Starking</t>
  </si>
  <si>
    <t>Amasya</t>
  </si>
  <si>
    <t>granny smith</t>
  </si>
  <si>
    <t>fuji</t>
  </si>
  <si>
    <t>kg</t>
  </si>
  <si>
    <t>muz</t>
  </si>
  <si>
    <t>cavendish</t>
  </si>
  <si>
    <t>gros michel</t>
  </si>
  <si>
    <t>lady finger</t>
  </si>
  <si>
    <t>portakal</t>
  </si>
  <si>
    <t>washington</t>
  </si>
  <si>
    <t>valencia</t>
  </si>
  <si>
    <t>moro</t>
  </si>
  <si>
    <t>bergamot</t>
  </si>
  <si>
    <t>pomeran</t>
  </si>
  <si>
    <t>mandalina</t>
  </si>
  <si>
    <t>satsuma</t>
  </si>
  <si>
    <t>clementine</t>
  </si>
  <si>
    <t>ponkan</t>
  </si>
  <si>
    <t>ortanique</t>
  </si>
  <si>
    <t>murcott honey</t>
  </si>
  <si>
    <t>greyfurt</t>
  </si>
  <si>
    <t>ruby red</t>
  </si>
  <si>
    <t>pink</t>
  </si>
  <si>
    <t>çilek</t>
  </si>
  <si>
    <t>camarosa</t>
  </si>
  <si>
    <t>albion</t>
  </si>
  <si>
    <t>selva</t>
  </si>
  <si>
    <t>festival</t>
  </si>
  <si>
    <t>elsanta</t>
  </si>
  <si>
    <t>altın çilek</t>
  </si>
  <si>
    <t>üzüm</t>
  </si>
  <si>
    <t>sultani</t>
  </si>
  <si>
    <t>red globe</t>
  </si>
  <si>
    <t>italia</t>
  </si>
  <si>
    <t>antep siyahı</t>
  </si>
  <si>
    <t>cardinal</t>
  </si>
  <si>
    <t>karpuz</t>
  </si>
  <si>
    <t>M036</t>
  </si>
  <si>
    <t>M037</t>
  </si>
  <si>
    <t>M038</t>
  </si>
  <si>
    <t>M039</t>
  </si>
  <si>
    <t>M040</t>
  </si>
  <si>
    <t>M041</t>
  </si>
  <si>
    <t>crimson sweet</t>
  </si>
  <si>
    <t>sugar baby</t>
  </si>
  <si>
    <t>charleston gray</t>
  </si>
  <si>
    <t>jubilee</t>
  </si>
  <si>
    <t>kavun</t>
  </si>
  <si>
    <t>kırkağaç</t>
  </si>
  <si>
    <t>kavşak</t>
  </si>
  <si>
    <t>retine</t>
  </si>
  <si>
    <t>charentais</t>
  </si>
  <si>
    <t>galia</t>
  </si>
  <si>
    <t>Tarih</t>
  </si>
  <si>
    <t>Birim Fiyat</t>
  </si>
  <si>
    <t>charlestor</t>
  </si>
  <si>
    <t>Miktar (kg)</t>
  </si>
  <si>
    <t>Toplam Fiyat</t>
  </si>
  <si>
    <t>Gider Türü</t>
  </si>
  <si>
    <t>Tutar</t>
  </si>
  <si>
    <t>Gider</t>
  </si>
  <si>
    <t>Elektrik</t>
  </si>
  <si>
    <t>Su</t>
  </si>
  <si>
    <t>Doğalgaz</t>
  </si>
  <si>
    <t>Kira</t>
  </si>
  <si>
    <t>Telefon</t>
  </si>
  <si>
    <t>Mal Alımı</t>
  </si>
  <si>
    <t>Temizlik Malzemeleri</t>
  </si>
  <si>
    <t>Personel Sigortaları</t>
  </si>
  <si>
    <t>Personel Maaşları</t>
  </si>
  <si>
    <t>Dükkan Eşyaları</t>
  </si>
  <si>
    <t>Alınan Miktar</t>
  </si>
  <si>
    <t>Sabit</t>
  </si>
  <si>
    <t xml:space="preserve">Değişken </t>
  </si>
  <si>
    <t>Değişken</t>
  </si>
  <si>
    <t>AY NO</t>
  </si>
  <si>
    <t>YIL NO</t>
  </si>
  <si>
    <t>Yıl Seçimi</t>
  </si>
  <si>
    <t>Ay Seçimi</t>
  </si>
  <si>
    <t xml:space="preserve">Aylık Satış </t>
  </si>
  <si>
    <t>Aylık Gider</t>
  </si>
  <si>
    <t>Net Kar</t>
  </si>
  <si>
    <t>Satış Miktarı</t>
  </si>
  <si>
    <t>Toplam Alış</t>
  </si>
  <si>
    <t>Toplam Satış</t>
  </si>
  <si>
    <t>Kalan Stok</t>
  </si>
  <si>
    <t>Satış Tarihi</t>
  </si>
  <si>
    <t>Yıllık Toplam Satış</t>
  </si>
  <si>
    <t>Yıllık Toplam Gider</t>
  </si>
  <si>
    <t>Yıllık Net 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</si>
</sst>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rebuchet MS"/>
      <family val="2"/>
      <charset val="162"/>
      <scheme val="minor"/>
    </font>
    <font>
      <b/>
      <sz val="11"/>
      <color theme="1"/>
      <name val="Trebuchet MS"/>
      <family val="2"/>
      <charset val="162"/>
      <scheme val="minor"/>
    </font>
    <font>
      <sz val="11"/>
      <color rgb="FF9C0006"/>
      <name val="Trebuchet MS"/>
      <family val="2"/>
      <charset val="162"/>
      <scheme val="minor"/>
    </font>
    <font>
      <i/>
      <sz val="11"/>
      <color theme="1"/>
      <name val="Trebuchet MS"/>
      <family val="2"/>
      <charset val="162"/>
      <scheme val="minor"/>
    </font>
    <font>
      <b/>
      <i/>
      <sz val="11"/>
      <color theme="1"/>
      <name val="Trebuchet MS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0" xfId="1"/>
    <xf numFmtId="0" fontId="3" fillId="0" borderId="0" xfId="0" applyFont="1"/>
    <xf numFmtId="0" fontId="0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4" fontId="0" fillId="0" borderId="0" xfId="0" applyNumberFormat="1" applyFont="1"/>
  </cellXfs>
  <cellStyles count="2">
    <cellStyle name="Kötü" xfId="1" builtinId="27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8.428036268193749E-2"/>
          <c:y val="0.16784740449110527"/>
          <c:w val="0.84250751610594132"/>
          <c:h val="0.727600612423447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'Yıllık Rapor'!$A$2:$A$4</c:f>
              <c:strCache>
                <c:ptCount val="3"/>
                <c:pt idx="0">
                  <c:v>Yıllık Toplam Satış</c:v>
                </c:pt>
                <c:pt idx="1">
                  <c:v>Yıllık Toplam Gider</c:v>
                </c:pt>
                <c:pt idx="2">
                  <c:v>Yıllık Net Kar</c:v>
                </c:pt>
              </c:strCache>
            </c:strRef>
          </c:cat>
          <c:val>
            <c:numRef>
              <c:f>'Yıllık Rapor'!$B$2:$B$4</c:f>
              <c:numCache>
                <c:formatCode>General</c:formatCode>
                <c:ptCount val="3"/>
                <c:pt idx="0">
                  <c:v>3565</c:v>
                </c:pt>
                <c:pt idx="1">
                  <c:v>94300</c:v>
                </c:pt>
                <c:pt idx="2">
                  <c:v>-90735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9-44FD-8161-7DE9F36C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6500911"/>
        <c:axId val="586498415"/>
      </c:barChart>
      <c:catAx>
        <c:axId val="58650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6498415"/>
        <c:crosses val="autoZero"/>
        <c:auto val="1"/>
        <c:lblAlgn val="ctr"/>
        <c:lblOffset val="100"/>
        <c:noMultiLvlLbl val="0"/>
      </c:catAx>
      <c:valAx>
        <c:axId val="58649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8650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A7-4311-B054-9E228E16DC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A7-4311-B054-9E228E16DC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A7-4311-B054-9E228E16DC05}"/>
              </c:ext>
            </c:extLst>
          </c:dPt>
          <c:cat>
            <c:strRef>
              <c:f>'Yıllık Rapor'!$A$2:$A$4</c:f>
              <c:strCache>
                <c:ptCount val="3"/>
                <c:pt idx="0">
                  <c:v>Yıllık Toplam Satış</c:v>
                </c:pt>
                <c:pt idx="1">
                  <c:v>Yıllık Toplam Gider</c:v>
                </c:pt>
                <c:pt idx="2">
                  <c:v>Yıllık Net Kar</c:v>
                </c:pt>
              </c:strCache>
            </c:strRef>
          </c:cat>
          <c:val>
            <c:numRef>
              <c:f>'Yıllık Rapor'!$B$2:$B$4</c:f>
              <c:numCache>
                <c:formatCode>General</c:formatCode>
                <c:ptCount val="3"/>
                <c:pt idx="0">
                  <c:v>3565</c:v>
                </c:pt>
                <c:pt idx="1">
                  <c:v>94300</c:v>
                </c:pt>
                <c:pt idx="2">
                  <c:v>-90735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56C-87C2-F4DD86CCC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'Aylık Rapor'!$B$4:$B$6</c:f>
              <c:strCache>
                <c:ptCount val="3"/>
                <c:pt idx="0">
                  <c:v>Aylık Satış </c:v>
                </c:pt>
                <c:pt idx="1">
                  <c:v>Aylık Gider</c:v>
                </c:pt>
                <c:pt idx="2">
                  <c:v>Net Kar</c:v>
                </c:pt>
              </c:strCache>
            </c:strRef>
          </c:cat>
          <c:val>
            <c:numRef>
              <c:f>'Aylık Rapor'!$C$4:$C$6</c:f>
              <c:numCache>
                <c:formatCode>General</c:formatCode>
                <c:ptCount val="3"/>
                <c:pt idx="0">
                  <c:v>764</c:v>
                </c:pt>
                <c:pt idx="1">
                  <c:v>2500</c:v>
                </c:pt>
                <c:pt idx="2">
                  <c:v>-1736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1-48E8-B7ED-B0EC76A6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533807"/>
        <c:axId val="1540521743"/>
      </c:barChart>
      <c:catAx>
        <c:axId val="15405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0521743"/>
        <c:crosses val="autoZero"/>
        <c:auto val="1"/>
        <c:lblAlgn val="ctr"/>
        <c:lblOffset val="100"/>
        <c:noMultiLvlLbl val="0"/>
      </c:catAx>
      <c:valAx>
        <c:axId val="15405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053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tok!A1"/><Relationship Id="rId7" Type="http://schemas.openxmlformats.org/officeDocument/2006/relationships/hyperlink" Target="#'Y&#305;ll&#305;k Rapor'!A1"/><Relationship Id="rId2" Type="http://schemas.openxmlformats.org/officeDocument/2006/relationships/hyperlink" Target="#sat&#305;&#351;!A1"/><Relationship Id="rId1" Type="http://schemas.openxmlformats.org/officeDocument/2006/relationships/hyperlink" Target="#al&#305;&#351;!A1"/><Relationship Id="rId6" Type="http://schemas.openxmlformats.org/officeDocument/2006/relationships/hyperlink" Target="#'G&#252;nl&#252;k Rapor'!A1"/><Relationship Id="rId5" Type="http://schemas.openxmlformats.org/officeDocument/2006/relationships/hyperlink" Target="#'Ayl&#305;k Rapor'!A1"/><Relationship Id="rId4" Type="http://schemas.openxmlformats.org/officeDocument/2006/relationships/hyperlink" Target="#giderler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</xdr:colOff>
      <xdr:row>8</xdr:row>
      <xdr:rowOff>167640</xdr:rowOff>
    </xdr:from>
    <xdr:ext cx="184731" cy="419987"/>
    <xdr:sp macro="" textlink="">
      <xdr:nvSpPr>
        <xdr:cNvPr id="3" name="Metin kutusu 2"/>
        <xdr:cNvSpPr txBox="1"/>
      </xdr:nvSpPr>
      <xdr:spPr>
        <a:xfrm>
          <a:off x="3093720" y="1630680"/>
          <a:ext cx="184731" cy="419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  <a:p>
          <a:endParaRPr lang="tr-TR" sz="1100"/>
        </a:p>
      </xdr:txBody>
    </xdr:sp>
    <xdr:clientData/>
  </xdr:oneCellAnchor>
  <xdr:twoCellAnchor>
    <xdr:from>
      <xdr:col>4</xdr:col>
      <xdr:colOff>7620</xdr:colOff>
      <xdr:row>2</xdr:row>
      <xdr:rowOff>121920</xdr:rowOff>
    </xdr:from>
    <xdr:to>
      <xdr:col>6</xdr:col>
      <xdr:colOff>411480</xdr:colOff>
      <xdr:row>9</xdr:row>
      <xdr:rowOff>121920</xdr:rowOff>
    </xdr:to>
    <xdr:sp macro="" textlink="">
      <xdr:nvSpPr>
        <xdr:cNvPr id="6" name="Bulut 5">
          <a:hlinkClick xmlns:r="http://schemas.openxmlformats.org/officeDocument/2006/relationships" r:id="rId1"/>
        </xdr:cNvPr>
        <xdr:cNvSpPr/>
      </xdr:nvSpPr>
      <xdr:spPr>
        <a:xfrm>
          <a:off x="2446020" y="487680"/>
          <a:ext cx="1623060" cy="128016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ALIŞ</a:t>
          </a:r>
        </a:p>
      </xdr:txBody>
    </xdr:sp>
    <xdr:clientData/>
  </xdr:twoCellAnchor>
  <xdr:twoCellAnchor>
    <xdr:from>
      <xdr:col>7</xdr:col>
      <xdr:colOff>304800</xdr:colOff>
      <xdr:row>2</xdr:row>
      <xdr:rowOff>144780</xdr:rowOff>
    </xdr:from>
    <xdr:to>
      <xdr:col>9</xdr:col>
      <xdr:colOff>601980</xdr:colOff>
      <xdr:row>10</xdr:row>
      <xdr:rowOff>7620</xdr:rowOff>
    </xdr:to>
    <xdr:sp macro="" textlink="">
      <xdr:nvSpPr>
        <xdr:cNvPr id="8" name="Bulut 7">
          <a:hlinkClick xmlns:r="http://schemas.openxmlformats.org/officeDocument/2006/relationships" r:id="rId2"/>
        </xdr:cNvPr>
        <xdr:cNvSpPr/>
      </xdr:nvSpPr>
      <xdr:spPr>
        <a:xfrm>
          <a:off x="4572000" y="510540"/>
          <a:ext cx="1516380" cy="132588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SATIŞ</a:t>
          </a:r>
        </a:p>
      </xdr:txBody>
    </xdr:sp>
    <xdr:clientData/>
  </xdr:twoCellAnchor>
  <xdr:twoCellAnchor>
    <xdr:from>
      <xdr:col>10</xdr:col>
      <xdr:colOff>472440</xdr:colOff>
      <xdr:row>2</xdr:row>
      <xdr:rowOff>137160</xdr:rowOff>
    </xdr:from>
    <xdr:to>
      <xdr:col>13</xdr:col>
      <xdr:colOff>243840</xdr:colOff>
      <xdr:row>10</xdr:row>
      <xdr:rowOff>38100</xdr:rowOff>
    </xdr:to>
    <xdr:sp macro="" textlink="">
      <xdr:nvSpPr>
        <xdr:cNvPr id="9" name="Bulut 8">
          <a:hlinkClick xmlns:r="http://schemas.openxmlformats.org/officeDocument/2006/relationships" r:id="rId3"/>
        </xdr:cNvPr>
        <xdr:cNvSpPr/>
      </xdr:nvSpPr>
      <xdr:spPr>
        <a:xfrm>
          <a:off x="6568440" y="502920"/>
          <a:ext cx="1600200" cy="136398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STOK</a:t>
          </a:r>
          <a:endParaRPr lang="tr-TR" sz="1100"/>
        </a:p>
      </xdr:txBody>
    </xdr:sp>
    <xdr:clientData/>
  </xdr:twoCellAnchor>
  <xdr:twoCellAnchor>
    <xdr:from>
      <xdr:col>14</xdr:col>
      <xdr:colOff>281940</xdr:colOff>
      <xdr:row>2</xdr:row>
      <xdr:rowOff>99060</xdr:rowOff>
    </xdr:from>
    <xdr:to>
      <xdr:col>17</xdr:col>
      <xdr:colOff>22860</xdr:colOff>
      <xdr:row>9</xdr:row>
      <xdr:rowOff>137160</xdr:rowOff>
    </xdr:to>
    <xdr:sp macro="" textlink="">
      <xdr:nvSpPr>
        <xdr:cNvPr id="10" name="Bulut 9">
          <a:hlinkClick xmlns:r="http://schemas.openxmlformats.org/officeDocument/2006/relationships" r:id="rId4"/>
        </xdr:cNvPr>
        <xdr:cNvSpPr/>
      </xdr:nvSpPr>
      <xdr:spPr>
        <a:xfrm>
          <a:off x="8816340" y="464820"/>
          <a:ext cx="1569720" cy="131826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>
              <a:solidFill>
                <a:schemeClr val="tx1"/>
              </a:solidFill>
            </a:rPr>
            <a:t>GİDERLER</a:t>
          </a:r>
        </a:p>
      </xdr:txBody>
    </xdr:sp>
    <xdr:clientData/>
  </xdr:twoCellAnchor>
  <xdr:twoCellAnchor>
    <xdr:from>
      <xdr:col>8</xdr:col>
      <xdr:colOff>160020</xdr:colOff>
      <xdr:row>13</xdr:row>
      <xdr:rowOff>114300</xdr:rowOff>
    </xdr:from>
    <xdr:to>
      <xdr:col>12</xdr:col>
      <xdr:colOff>480060</xdr:colOff>
      <xdr:row>24</xdr:row>
      <xdr:rowOff>68580</xdr:rowOff>
    </xdr:to>
    <xdr:sp macro="" textlink="">
      <xdr:nvSpPr>
        <xdr:cNvPr id="11" name="Bulut 10">
          <a:hlinkClick xmlns:r="http://schemas.openxmlformats.org/officeDocument/2006/relationships" r:id="rId5"/>
        </xdr:cNvPr>
        <xdr:cNvSpPr/>
      </xdr:nvSpPr>
      <xdr:spPr>
        <a:xfrm>
          <a:off x="5036820" y="2491740"/>
          <a:ext cx="2758440" cy="196596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AYLIK RAPOR</a:t>
          </a:r>
        </a:p>
      </xdr:txBody>
    </xdr:sp>
    <xdr:clientData/>
  </xdr:twoCellAnchor>
  <xdr:twoCellAnchor>
    <xdr:from>
      <xdr:col>3</xdr:col>
      <xdr:colOff>38100</xdr:colOff>
      <xdr:row>13</xdr:row>
      <xdr:rowOff>68580</xdr:rowOff>
    </xdr:from>
    <xdr:to>
      <xdr:col>7</xdr:col>
      <xdr:colOff>457200</xdr:colOff>
      <xdr:row>24</xdr:row>
      <xdr:rowOff>7620</xdr:rowOff>
    </xdr:to>
    <xdr:sp macro="" textlink="">
      <xdr:nvSpPr>
        <xdr:cNvPr id="12" name="Bulut 11">
          <a:hlinkClick xmlns:r="http://schemas.openxmlformats.org/officeDocument/2006/relationships" r:id="rId6"/>
        </xdr:cNvPr>
        <xdr:cNvSpPr/>
      </xdr:nvSpPr>
      <xdr:spPr>
        <a:xfrm>
          <a:off x="1866900" y="2446020"/>
          <a:ext cx="2857500" cy="195072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GÜNLÜK RAPOR</a:t>
          </a:r>
        </a:p>
      </xdr:txBody>
    </xdr:sp>
    <xdr:clientData/>
  </xdr:twoCellAnchor>
  <xdr:twoCellAnchor>
    <xdr:from>
      <xdr:col>13</xdr:col>
      <xdr:colOff>266700</xdr:colOff>
      <xdr:row>12</xdr:row>
      <xdr:rowOff>175260</xdr:rowOff>
    </xdr:from>
    <xdr:to>
      <xdr:col>18</xdr:col>
      <xdr:colOff>228600</xdr:colOff>
      <xdr:row>24</xdr:row>
      <xdr:rowOff>53340</xdr:rowOff>
    </xdr:to>
    <xdr:sp macro="" textlink="">
      <xdr:nvSpPr>
        <xdr:cNvPr id="13" name="Bulut 12">
          <a:hlinkClick xmlns:r="http://schemas.openxmlformats.org/officeDocument/2006/relationships" r:id="rId7"/>
        </xdr:cNvPr>
        <xdr:cNvSpPr/>
      </xdr:nvSpPr>
      <xdr:spPr>
        <a:xfrm>
          <a:off x="8191500" y="2369820"/>
          <a:ext cx="3009900" cy="2072640"/>
        </a:xfrm>
        <a:prstGeom prst="cloud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YILLIK RAPOR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175260</xdr:rowOff>
    </xdr:from>
    <xdr:to>
      <xdr:col>9</xdr:col>
      <xdr:colOff>533400</xdr:colOff>
      <xdr:row>15</xdr:row>
      <xdr:rowOff>175260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548640</xdr:colOff>
      <xdr:row>17</xdr:row>
      <xdr:rowOff>0</xdr:rowOff>
    </xdr:from>
    <xdr:to>
      <xdr:col>10</xdr:col>
      <xdr:colOff>243840</xdr:colOff>
      <xdr:row>32</xdr:row>
      <xdr:rowOff>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o1" displayName="Tablo1" ref="A1:H42" totalsRowShown="0" headerRowDxfId="10" dataDxfId="9">
  <autoFilter ref="A1:H42"/>
  <tableColumns count="8">
    <tableColumn id="1" name="Ürün Kodu" dataDxfId="8"/>
    <tableColumn id="2" name="Tür" dataDxfId="7"/>
    <tableColumn id="3" name="Ürün Adı" dataDxfId="6"/>
    <tableColumn id="4" name="Cins" dataDxfId="5"/>
    <tableColumn id="5" name="Birim" dataDxfId="4"/>
    <tableColumn id="6" name="Alınan Miktar" dataDxfId="3"/>
    <tableColumn id="7" name="Alış Fiyatı" dataDxfId="2"/>
    <tableColumn id="8" name="Satış Fiyatı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U20" sqref="U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zoomScaleNormal="100" workbookViewId="0">
      <selection activeCell="R19" sqref="R19"/>
    </sheetView>
  </sheetViews>
  <sheetFormatPr defaultRowHeight="14.4" x14ac:dyDescent="0.3"/>
  <cols>
    <col min="1" max="1" width="13" style="7" customWidth="1"/>
    <col min="2" max="2" width="8.88671875" style="7"/>
    <col min="3" max="3" width="11.33203125" style="7" customWidth="1"/>
    <col min="4" max="4" width="13.33203125" style="7" customWidth="1"/>
    <col min="5" max="5" width="8.33203125" style="7" customWidth="1"/>
    <col min="6" max="6" width="16.109375" style="7" customWidth="1"/>
    <col min="7" max="7" width="13" style="7" customWidth="1"/>
    <col min="8" max="8" width="14.21875" style="7" customWidth="1"/>
    <col min="9" max="16384" width="8.88671875" style="7"/>
  </cols>
  <sheetData>
    <row r="1" spans="1:8" x14ac:dyDescent="0.3">
      <c r="A1" s="9" t="s">
        <v>0</v>
      </c>
      <c r="B1" s="9" t="s">
        <v>1</v>
      </c>
      <c r="C1" s="10" t="s">
        <v>3</v>
      </c>
      <c r="D1" s="10" t="s">
        <v>2</v>
      </c>
      <c r="E1" s="10" t="s">
        <v>6</v>
      </c>
      <c r="F1" s="10" t="s">
        <v>117</v>
      </c>
      <c r="G1" s="10" t="s">
        <v>4</v>
      </c>
      <c r="H1" s="10" t="s">
        <v>5</v>
      </c>
    </row>
    <row r="2" spans="1:8" x14ac:dyDescent="0.3">
      <c r="A2" s="7" t="s">
        <v>7</v>
      </c>
      <c r="B2" s="7" t="s">
        <v>42</v>
      </c>
      <c r="C2" s="7" t="s">
        <v>43</v>
      </c>
      <c r="D2" s="7" t="s">
        <v>44</v>
      </c>
      <c r="E2" s="7" t="s">
        <v>49</v>
      </c>
      <c r="F2" s="7">
        <v>50</v>
      </c>
      <c r="G2" s="7">
        <v>10</v>
      </c>
      <c r="H2" s="7">
        <v>15</v>
      </c>
    </row>
    <row r="3" spans="1:8" x14ac:dyDescent="0.3">
      <c r="A3" s="7" t="s">
        <v>8</v>
      </c>
      <c r="B3" s="7" t="s">
        <v>42</v>
      </c>
      <c r="C3" s="7" t="s">
        <v>43</v>
      </c>
      <c r="D3" s="7" t="s">
        <v>45</v>
      </c>
      <c r="E3" s="7" t="s">
        <v>49</v>
      </c>
      <c r="F3" s="7">
        <v>30</v>
      </c>
      <c r="G3" s="7">
        <v>9</v>
      </c>
      <c r="H3" s="7">
        <v>14</v>
      </c>
    </row>
    <row r="4" spans="1:8" x14ac:dyDescent="0.3">
      <c r="A4" s="7" t="s">
        <v>9</v>
      </c>
      <c r="B4" s="7" t="s">
        <v>42</v>
      </c>
      <c r="C4" s="7" t="s">
        <v>43</v>
      </c>
      <c r="D4" s="7" t="s">
        <v>46</v>
      </c>
      <c r="E4" s="7" t="s">
        <v>49</v>
      </c>
      <c r="F4" s="7">
        <v>30</v>
      </c>
      <c r="G4" s="7">
        <v>8</v>
      </c>
      <c r="H4" s="7">
        <v>13</v>
      </c>
    </row>
    <row r="5" spans="1:8" x14ac:dyDescent="0.3">
      <c r="A5" s="7" t="s">
        <v>10</v>
      </c>
      <c r="B5" s="7" t="s">
        <v>42</v>
      </c>
      <c r="C5" s="7" t="s">
        <v>43</v>
      </c>
      <c r="D5" s="7" t="s">
        <v>47</v>
      </c>
      <c r="E5" s="7" t="s">
        <v>49</v>
      </c>
      <c r="F5" s="7">
        <v>30</v>
      </c>
      <c r="G5" s="7">
        <v>10</v>
      </c>
      <c r="H5" s="7">
        <v>18</v>
      </c>
    </row>
    <row r="6" spans="1:8" x14ac:dyDescent="0.3">
      <c r="A6" s="7" t="s">
        <v>11</v>
      </c>
      <c r="B6" s="7" t="s">
        <v>42</v>
      </c>
      <c r="C6" s="7" t="s">
        <v>43</v>
      </c>
      <c r="D6" s="7" t="s">
        <v>48</v>
      </c>
      <c r="E6" s="7" t="s">
        <v>49</v>
      </c>
      <c r="F6" s="7">
        <v>30</v>
      </c>
      <c r="G6" s="7">
        <v>11</v>
      </c>
      <c r="H6" s="7">
        <v>16</v>
      </c>
    </row>
    <row r="7" spans="1:8" x14ac:dyDescent="0.3">
      <c r="A7" s="7" t="s">
        <v>12</v>
      </c>
      <c r="B7" s="7" t="s">
        <v>42</v>
      </c>
      <c r="C7" s="7" t="s">
        <v>50</v>
      </c>
      <c r="D7" s="7" t="s">
        <v>51</v>
      </c>
      <c r="E7" s="7" t="s">
        <v>49</v>
      </c>
      <c r="F7" s="7">
        <v>30</v>
      </c>
      <c r="G7" s="7">
        <v>12</v>
      </c>
      <c r="H7" s="7">
        <v>18</v>
      </c>
    </row>
    <row r="8" spans="1:8" x14ac:dyDescent="0.3">
      <c r="A8" s="7" t="s">
        <v>13</v>
      </c>
      <c r="B8" s="7" t="s">
        <v>42</v>
      </c>
      <c r="C8" s="7" t="s">
        <v>50</v>
      </c>
      <c r="D8" s="7" t="s">
        <v>52</v>
      </c>
      <c r="E8" s="7" t="s">
        <v>49</v>
      </c>
      <c r="F8" s="7">
        <v>30</v>
      </c>
      <c r="G8" s="7">
        <v>13</v>
      </c>
      <c r="H8" s="7">
        <v>19</v>
      </c>
    </row>
    <row r="9" spans="1:8" x14ac:dyDescent="0.3">
      <c r="A9" s="7" t="s">
        <v>14</v>
      </c>
      <c r="B9" s="7" t="s">
        <v>42</v>
      </c>
      <c r="C9" s="7" t="s">
        <v>50</v>
      </c>
      <c r="D9" s="7" t="s">
        <v>53</v>
      </c>
      <c r="E9" s="7" t="s">
        <v>49</v>
      </c>
      <c r="F9" s="7">
        <v>30</v>
      </c>
      <c r="G9" s="7">
        <v>10</v>
      </c>
      <c r="H9" s="7">
        <v>20</v>
      </c>
    </row>
    <row r="10" spans="1:8" x14ac:dyDescent="0.3">
      <c r="A10" s="7" t="s">
        <v>15</v>
      </c>
      <c r="B10" s="7" t="s">
        <v>42</v>
      </c>
      <c r="C10" s="7" t="s">
        <v>54</v>
      </c>
      <c r="D10" s="7" t="s">
        <v>55</v>
      </c>
      <c r="E10" s="7" t="s">
        <v>49</v>
      </c>
      <c r="F10" s="7">
        <v>30</v>
      </c>
      <c r="G10" s="7">
        <v>8</v>
      </c>
      <c r="H10" s="7">
        <v>13</v>
      </c>
    </row>
    <row r="11" spans="1:8" x14ac:dyDescent="0.3">
      <c r="A11" s="7" t="s">
        <v>16</v>
      </c>
      <c r="B11" s="7" t="s">
        <v>42</v>
      </c>
      <c r="C11" s="7" t="s">
        <v>54</v>
      </c>
      <c r="D11" s="7" t="s">
        <v>56</v>
      </c>
      <c r="E11" s="7" t="s">
        <v>49</v>
      </c>
      <c r="F11" s="7">
        <v>30</v>
      </c>
      <c r="G11" s="7">
        <v>7</v>
      </c>
      <c r="H11" s="7">
        <v>25</v>
      </c>
    </row>
    <row r="12" spans="1:8" x14ac:dyDescent="0.3">
      <c r="A12" s="7" t="s">
        <v>17</v>
      </c>
      <c r="B12" s="7" t="s">
        <v>42</v>
      </c>
      <c r="C12" s="7" t="s">
        <v>54</v>
      </c>
      <c r="D12" s="7" t="s">
        <v>57</v>
      </c>
      <c r="E12" s="7" t="s">
        <v>49</v>
      </c>
      <c r="F12" s="7">
        <v>30</v>
      </c>
      <c r="G12" s="7">
        <v>9</v>
      </c>
      <c r="H12" s="7">
        <v>14</v>
      </c>
    </row>
    <row r="13" spans="1:8" x14ac:dyDescent="0.3">
      <c r="A13" s="7" t="s">
        <v>18</v>
      </c>
      <c r="B13" s="7" t="s">
        <v>42</v>
      </c>
      <c r="C13" s="7" t="s">
        <v>54</v>
      </c>
      <c r="D13" s="7" t="s">
        <v>58</v>
      </c>
      <c r="E13" s="7" t="s">
        <v>49</v>
      </c>
      <c r="F13" s="7">
        <v>30</v>
      </c>
      <c r="G13" s="7">
        <v>10</v>
      </c>
      <c r="H13" s="7">
        <v>15</v>
      </c>
    </row>
    <row r="14" spans="1:8" x14ac:dyDescent="0.3">
      <c r="A14" s="7" t="s">
        <v>19</v>
      </c>
      <c r="B14" s="7" t="s">
        <v>42</v>
      </c>
      <c r="C14" s="7" t="s">
        <v>54</v>
      </c>
      <c r="D14" s="7" t="s">
        <v>59</v>
      </c>
      <c r="E14" s="7" t="s">
        <v>49</v>
      </c>
      <c r="F14" s="7">
        <v>30</v>
      </c>
      <c r="G14" s="7">
        <v>8</v>
      </c>
      <c r="H14" s="7">
        <v>13</v>
      </c>
    </row>
    <row r="15" spans="1:8" x14ac:dyDescent="0.3">
      <c r="A15" s="7" t="s">
        <v>20</v>
      </c>
      <c r="B15" s="7" t="s">
        <v>42</v>
      </c>
      <c r="C15" s="7" t="s">
        <v>60</v>
      </c>
      <c r="D15" s="7" t="s">
        <v>61</v>
      </c>
      <c r="E15" s="7" t="s">
        <v>49</v>
      </c>
      <c r="F15" s="7">
        <v>30</v>
      </c>
      <c r="G15" s="7">
        <v>7</v>
      </c>
      <c r="H15" s="7">
        <v>12</v>
      </c>
    </row>
    <row r="16" spans="1:8" x14ac:dyDescent="0.3">
      <c r="A16" s="7" t="s">
        <v>21</v>
      </c>
      <c r="B16" s="7" t="s">
        <v>42</v>
      </c>
      <c r="C16" s="7" t="s">
        <v>60</v>
      </c>
      <c r="D16" s="7" t="s">
        <v>62</v>
      </c>
      <c r="E16" s="7" t="s">
        <v>49</v>
      </c>
      <c r="F16" s="7">
        <v>30</v>
      </c>
      <c r="G16" s="7">
        <v>8</v>
      </c>
      <c r="H16" s="7">
        <v>13</v>
      </c>
    </row>
    <row r="17" spans="1:8" x14ac:dyDescent="0.3">
      <c r="A17" s="7" t="s">
        <v>22</v>
      </c>
      <c r="B17" s="7" t="s">
        <v>42</v>
      </c>
      <c r="C17" s="7" t="s">
        <v>60</v>
      </c>
      <c r="D17" s="7" t="s">
        <v>63</v>
      </c>
      <c r="E17" s="7" t="s">
        <v>49</v>
      </c>
      <c r="F17" s="7">
        <v>30</v>
      </c>
      <c r="G17" s="7">
        <v>8</v>
      </c>
      <c r="H17" s="7">
        <v>13</v>
      </c>
    </row>
    <row r="18" spans="1:8" x14ac:dyDescent="0.3">
      <c r="A18" s="7" t="s">
        <v>23</v>
      </c>
      <c r="B18" s="7" t="s">
        <v>42</v>
      </c>
      <c r="C18" s="7" t="s">
        <v>60</v>
      </c>
      <c r="D18" s="7" t="s">
        <v>64</v>
      </c>
      <c r="E18" s="7" t="s">
        <v>49</v>
      </c>
      <c r="F18" s="7">
        <v>30</v>
      </c>
      <c r="G18" s="7">
        <v>9</v>
      </c>
      <c r="H18" s="7">
        <v>14</v>
      </c>
    </row>
    <row r="19" spans="1:8" x14ac:dyDescent="0.3">
      <c r="A19" s="7" t="s">
        <v>24</v>
      </c>
      <c r="B19" s="7" t="s">
        <v>42</v>
      </c>
      <c r="C19" s="7" t="s">
        <v>60</v>
      </c>
      <c r="D19" s="7" t="s">
        <v>65</v>
      </c>
      <c r="E19" s="7" t="s">
        <v>49</v>
      </c>
      <c r="F19" s="7">
        <v>30</v>
      </c>
      <c r="G19" s="7">
        <v>9</v>
      </c>
      <c r="H19" s="7">
        <v>28</v>
      </c>
    </row>
    <row r="20" spans="1:8" x14ac:dyDescent="0.3">
      <c r="A20" s="7" t="s">
        <v>25</v>
      </c>
      <c r="B20" s="7" t="s">
        <v>42</v>
      </c>
      <c r="C20" s="7" t="s">
        <v>66</v>
      </c>
      <c r="D20" s="7" t="s">
        <v>67</v>
      </c>
      <c r="E20" s="7" t="s">
        <v>49</v>
      </c>
      <c r="F20" s="7">
        <v>30</v>
      </c>
      <c r="G20" s="7">
        <v>12</v>
      </c>
      <c r="H20" s="7">
        <v>18</v>
      </c>
    </row>
    <row r="21" spans="1:8" x14ac:dyDescent="0.3">
      <c r="A21" s="7" t="s">
        <v>26</v>
      </c>
      <c r="B21" s="7" t="s">
        <v>42</v>
      </c>
      <c r="C21" s="7" t="s">
        <v>66</v>
      </c>
      <c r="D21" s="7" t="s">
        <v>68</v>
      </c>
      <c r="E21" s="7" t="s">
        <v>49</v>
      </c>
      <c r="F21" s="7">
        <v>30</v>
      </c>
      <c r="G21" s="7">
        <v>11</v>
      </c>
      <c r="H21" s="7">
        <v>17</v>
      </c>
    </row>
    <row r="22" spans="1:8" x14ac:dyDescent="0.3">
      <c r="A22" s="7" t="s">
        <v>27</v>
      </c>
      <c r="B22" s="7" t="s">
        <v>42</v>
      </c>
      <c r="C22" s="7" t="s">
        <v>69</v>
      </c>
      <c r="D22" s="7" t="s">
        <v>70</v>
      </c>
      <c r="E22" s="7" t="s">
        <v>49</v>
      </c>
      <c r="F22" s="7">
        <v>30</v>
      </c>
      <c r="G22" s="7">
        <v>20</v>
      </c>
      <c r="H22" s="7">
        <v>40</v>
      </c>
    </row>
    <row r="23" spans="1:8" x14ac:dyDescent="0.3">
      <c r="A23" s="7" t="s">
        <v>28</v>
      </c>
      <c r="B23" s="7" t="s">
        <v>42</v>
      </c>
      <c r="C23" s="7" t="s">
        <v>69</v>
      </c>
      <c r="D23" s="7" t="s">
        <v>71</v>
      </c>
      <c r="E23" s="7" t="s">
        <v>49</v>
      </c>
      <c r="F23" s="7">
        <v>30</v>
      </c>
      <c r="G23" s="7">
        <v>24</v>
      </c>
      <c r="H23" s="7">
        <v>38</v>
      </c>
    </row>
    <row r="24" spans="1:8" x14ac:dyDescent="0.3">
      <c r="A24" s="7" t="s">
        <v>29</v>
      </c>
      <c r="B24" s="7" t="s">
        <v>42</v>
      </c>
      <c r="C24" s="7" t="s">
        <v>69</v>
      </c>
      <c r="D24" s="7" t="s">
        <v>72</v>
      </c>
      <c r="E24" s="7" t="s">
        <v>49</v>
      </c>
      <c r="F24" s="7">
        <v>30</v>
      </c>
      <c r="G24" s="7">
        <v>22</v>
      </c>
      <c r="H24" s="7">
        <v>35</v>
      </c>
    </row>
    <row r="25" spans="1:8" x14ac:dyDescent="0.3">
      <c r="A25" s="7" t="s">
        <v>30</v>
      </c>
      <c r="B25" s="7" t="s">
        <v>42</v>
      </c>
      <c r="C25" s="7" t="s">
        <v>69</v>
      </c>
      <c r="D25" s="7" t="s">
        <v>73</v>
      </c>
      <c r="E25" s="7" t="s">
        <v>49</v>
      </c>
      <c r="F25" s="7">
        <v>30</v>
      </c>
      <c r="G25" s="7">
        <v>17</v>
      </c>
      <c r="H25" s="7">
        <v>42</v>
      </c>
    </row>
    <row r="26" spans="1:8" x14ac:dyDescent="0.3">
      <c r="A26" s="7" t="s">
        <v>31</v>
      </c>
      <c r="B26" s="7" t="s">
        <v>42</v>
      </c>
      <c r="C26" s="7" t="s">
        <v>69</v>
      </c>
      <c r="D26" s="7" t="s">
        <v>74</v>
      </c>
      <c r="E26" s="7" t="s">
        <v>49</v>
      </c>
      <c r="F26" s="7">
        <v>30</v>
      </c>
      <c r="G26" s="7">
        <v>23</v>
      </c>
      <c r="H26" s="7">
        <v>37</v>
      </c>
    </row>
    <row r="27" spans="1:8" x14ac:dyDescent="0.3">
      <c r="A27" s="7" t="s">
        <v>32</v>
      </c>
      <c r="B27" s="7" t="s">
        <v>42</v>
      </c>
      <c r="C27" s="7" t="s">
        <v>69</v>
      </c>
      <c r="D27" s="7" t="s">
        <v>75</v>
      </c>
      <c r="E27" s="7" t="s">
        <v>49</v>
      </c>
      <c r="F27" s="7">
        <v>30</v>
      </c>
      <c r="G27" s="7">
        <v>17</v>
      </c>
      <c r="H27" s="7">
        <v>40</v>
      </c>
    </row>
    <row r="28" spans="1:8" x14ac:dyDescent="0.3">
      <c r="A28" s="7" t="s">
        <v>33</v>
      </c>
      <c r="B28" s="7" t="s">
        <v>42</v>
      </c>
      <c r="C28" s="7" t="s">
        <v>76</v>
      </c>
      <c r="D28" s="7" t="s">
        <v>77</v>
      </c>
      <c r="E28" s="7" t="s">
        <v>49</v>
      </c>
      <c r="F28" s="7">
        <v>30</v>
      </c>
      <c r="G28" s="7">
        <v>12</v>
      </c>
      <c r="H28" s="7">
        <v>18</v>
      </c>
    </row>
    <row r="29" spans="1:8" x14ac:dyDescent="0.3">
      <c r="A29" s="7" t="s">
        <v>34</v>
      </c>
      <c r="B29" s="7" t="s">
        <v>42</v>
      </c>
      <c r="C29" s="7" t="s">
        <v>76</v>
      </c>
      <c r="D29" s="7" t="s">
        <v>78</v>
      </c>
      <c r="E29" s="7" t="s">
        <v>49</v>
      </c>
      <c r="F29" s="7">
        <v>30</v>
      </c>
      <c r="G29" s="7">
        <v>15</v>
      </c>
      <c r="H29" s="7">
        <v>22</v>
      </c>
    </row>
    <row r="30" spans="1:8" x14ac:dyDescent="0.3">
      <c r="A30" s="7" t="s">
        <v>35</v>
      </c>
      <c r="B30" s="7" t="s">
        <v>42</v>
      </c>
      <c r="C30" s="7" t="s">
        <v>76</v>
      </c>
      <c r="D30" s="7" t="s">
        <v>79</v>
      </c>
      <c r="E30" s="7" t="s">
        <v>49</v>
      </c>
      <c r="F30" s="7">
        <v>30</v>
      </c>
      <c r="G30" s="7">
        <v>13</v>
      </c>
      <c r="H30" s="7">
        <v>19</v>
      </c>
    </row>
    <row r="31" spans="1:8" x14ac:dyDescent="0.3">
      <c r="A31" s="7" t="s">
        <v>36</v>
      </c>
      <c r="B31" s="7" t="s">
        <v>42</v>
      </c>
      <c r="C31" s="7" t="s">
        <v>76</v>
      </c>
      <c r="D31" s="7" t="s">
        <v>80</v>
      </c>
      <c r="E31" s="7" t="s">
        <v>49</v>
      </c>
      <c r="F31" s="7">
        <v>30</v>
      </c>
      <c r="G31" s="7">
        <v>14</v>
      </c>
      <c r="H31" s="7">
        <v>20</v>
      </c>
    </row>
    <row r="32" spans="1:8" x14ac:dyDescent="0.3">
      <c r="A32" s="7" t="s">
        <v>37</v>
      </c>
      <c r="B32" s="7" t="s">
        <v>42</v>
      </c>
      <c r="C32" s="7" t="s">
        <v>76</v>
      </c>
      <c r="D32" s="7" t="s">
        <v>81</v>
      </c>
      <c r="E32" s="7" t="s">
        <v>49</v>
      </c>
      <c r="F32" s="7">
        <v>30</v>
      </c>
      <c r="G32" s="7">
        <v>14</v>
      </c>
      <c r="H32" s="7">
        <v>21</v>
      </c>
    </row>
    <row r="33" spans="1:8" x14ac:dyDescent="0.3">
      <c r="A33" s="7" t="s">
        <v>38</v>
      </c>
      <c r="B33" s="7" t="s">
        <v>42</v>
      </c>
      <c r="C33" s="7" t="s">
        <v>82</v>
      </c>
      <c r="D33" s="7" t="s">
        <v>89</v>
      </c>
      <c r="E33" s="7" t="s">
        <v>49</v>
      </c>
      <c r="F33" s="7">
        <v>30</v>
      </c>
      <c r="G33" s="7">
        <v>3</v>
      </c>
      <c r="H33" s="7">
        <v>7</v>
      </c>
    </row>
    <row r="34" spans="1:8" x14ac:dyDescent="0.3">
      <c r="A34" s="7" t="s">
        <v>39</v>
      </c>
      <c r="B34" s="7" t="s">
        <v>42</v>
      </c>
      <c r="C34" s="7" t="s">
        <v>82</v>
      </c>
      <c r="D34" s="7" t="s">
        <v>90</v>
      </c>
      <c r="E34" s="7" t="s">
        <v>49</v>
      </c>
      <c r="F34" s="7">
        <v>30</v>
      </c>
      <c r="G34" s="7">
        <v>4</v>
      </c>
      <c r="H34" s="7">
        <v>6</v>
      </c>
    </row>
    <row r="35" spans="1:8" x14ac:dyDescent="0.3">
      <c r="A35" s="7" t="s">
        <v>40</v>
      </c>
      <c r="B35" s="7" t="s">
        <v>42</v>
      </c>
      <c r="C35" s="7" t="s">
        <v>82</v>
      </c>
      <c r="D35" s="7" t="s">
        <v>91</v>
      </c>
      <c r="E35" s="7" t="s">
        <v>49</v>
      </c>
      <c r="F35" s="7">
        <v>30</v>
      </c>
      <c r="G35" s="7">
        <v>3</v>
      </c>
      <c r="H35" s="7">
        <v>5</v>
      </c>
    </row>
    <row r="36" spans="1:8" x14ac:dyDescent="0.3">
      <c r="A36" s="7" t="s">
        <v>41</v>
      </c>
      <c r="B36" s="7" t="s">
        <v>42</v>
      </c>
      <c r="C36" s="7" t="s">
        <v>82</v>
      </c>
      <c r="D36" s="7" t="s">
        <v>101</v>
      </c>
      <c r="E36" s="7" t="s">
        <v>49</v>
      </c>
      <c r="F36" s="7">
        <v>30</v>
      </c>
      <c r="G36" s="7">
        <v>3</v>
      </c>
      <c r="H36" s="7">
        <v>12</v>
      </c>
    </row>
    <row r="37" spans="1:8" x14ac:dyDescent="0.3">
      <c r="A37" s="7" t="s">
        <v>83</v>
      </c>
      <c r="B37" s="7" t="s">
        <v>42</v>
      </c>
      <c r="C37" s="7" t="s">
        <v>82</v>
      </c>
      <c r="D37" s="7" t="s">
        <v>92</v>
      </c>
      <c r="E37" s="7" t="s">
        <v>49</v>
      </c>
      <c r="F37" s="7">
        <v>30</v>
      </c>
      <c r="G37" s="7">
        <v>3</v>
      </c>
      <c r="H37" s="7">
        <v>5</v>
      </c>
    </row>
    <row r="38" spans="1:8" x14ac:dyDescent="0.3">
      <c r="A38" s="7" t="s">
        <v>84</v>
      </c>
      <c r="B38" s="7" t="s">
        <v>42</v>
      </c>
      <c r="C38" s="7" t="s">
        <v>93</v>
      </c>
      <c r="D38" s="7" t="s">
        <v>94</v>
      </c>
      <c r="E38" s="7" t="s">
        <v>49</v>
      </c>
      <c r="F38" s="7">
        <v>30</v>
      </c>
      <c r="G38" s="7">
        <v>4</v>
      </c>
      <c r="H38" s="7">
        <v>6</v>
      </c>
    </row>
    <row r="39" spans="1:8" x14ac:dyDescent="0.3">
      <c r="A39" s="7" t="s">
        <v>85</v>
      </c>
      <c r="B39" s="7" t="s">
        <v>42</v>
      </c>
      <c r="C39" s="7" t="s">
        <v>93</v>
      </c>
      <c r="D39" s="7" t="s">
        <v>95</v>
      </c>
      <c r="E39" s="7" t="s">
        <v>49</v>
      </c>
      <c r="F39" s="7">
        <v>30</v>
      </c>
      <c r="G39" s="7">
        <v>3</v>
      </c>
      <c r="H39" s="7">
        <v>5</v>
      </c>
    </row>
    <row r="40" spans="1:8" x14ac:dyDescent="0.3">
      <c r="A40" s="7" t="s">
        <v>86</v>
      </c>
      <c r="B40" s="7" t="s">
        <v>42</v>
      </c>
      <c r="C40" s="7" t="s">
        <v>93</v>
      </c>
      <c r="D40" s="7" t="s">
        <v>96</v>
      </c>
      <c r="E40" s="7" t="s">
        <v>49</v>
      </c>
      <c r="F40" s="7">
        <v>30</v>
      </c>
      <c r="G40" s="7">
        <v>4</v>
      </c>
      <c r="H40" s="7">
        <v>6</v>
      </c>
    </row>
    <row r="41" spans="1:8" x14ac:dyDescent="0.3">
      <c r="A41" s="7" t="s">
        <v>87</v>
      </c>
      <c r="B41" s="7" t="s">
        <v>42</v>
      </c>
      <c r="C41" s="7" t="s">
        <v>93</v>
      </c>
      <c r="D41" s="7" t="s">
        <v>97</v>
      </c>
      <c r="E41" s="7" t="s">
        <v>49</v>
      </c>
      <c r="F41" s="7">
        <v>30</v>
      </c>
      <c r="G41" s="7">
        <v>5</v>
      </c>
      <c r="H41" s="7">
        <v>7</v>
      </c>
    </row>
    <row r="42" spans="1:8" x14ac:dyDescent="0.3">
      <c r="A42" s="7" t="s">
        <v>88</v>
      </c>
      <c r="B42" s="7" t="s">
        <v>42</v>
      </c>
      <c r="C42" s="7" t="s">
        <v>93</v>
      </c>
      <c r="D42" s="7" t="s">
        <v>98</v>
      </c>
      <c r="E42" s="7" t="s">
        <v>49</v>
      </c>
      <c r="F42" s="7">
        <v>30</v>
      </c>
      <c r="G42" s="7">
        <v>5</v>
      </c>
      <c r="H42" s="7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0" workbookViewId="0">
      <selection activeCell="G15" sqref="G15"/>
    </sheetView>
  </sheetViews>
  <sheetFormatPr defaultRowHeight="14.4" x14ac:dyDescent="0.3"/>
  <cols>
    <col min="1" max="1" width="10.44140625" customWidth="1"/>
    <col min="2" max="2" width="9.21875" customWidth="1"/>
    <col min="3" max="3" width="11.6640625" customWidth="1"/>
    <col min="4" max="4" width="12.21875" customWidth="1"/>
    <col min="5" max="5" width="10.77734375" customWidth="1"/>
    <col min="6" max="6" width="10.6640625" customWidth="1"/>
  </cols>
  <sheetData>
    <row r="1" spans="1:6" x14ac:dyDescent="0.3">
      <c r="A1" s="8" t="s">
        <v>0</v>
      </c>
      <c r="B1" s="8" t="s">
        <v>3</v>
      </c>
      <c r="C1" s="8" t="s">
        <v>129</v>
      </c>
      <c r="D1" s="8" t="s">
        <v>130</v>
      </c>
      <c r="E1" s="8" t="s">
        <v>131</v>
      </c>
      <c r="F1" s="8" t="s">
        <v>132</v>
      </c>
    </row>
    <row r="2" spans="1:6" x14ac:dyDescent="0.3">
      <c r="A2" s="8" t="s">
        <v>7</v>
      </c>
      <c r="B2" s="8" t="s">
        <v>43</v>
      </c>
      <c r="C2" s="8">
        <f>SUMIF(alış!A:A, A2, alış!F:F)</f>
        <v>50</v>
      </c>
      <c r="D2" s="8">
        <f>SUMIF(satış!B:B, A2, satış!G:G)</f>
        <v>8</v>
      </c>
      <c r="E2" s="8">
        <f>C2-D2</f>
        <v>42</v>
      </c>
      <c r="F2" s="11">
        <v>45997</v>
      </c>
    </row>
    <row r="3" spans="1:6" x14ac:dyDescent="0.3">
      <c r="A3" s="8" t="s">
        <v>8</v>
      </c>
      <c r="B3" s="8" t="s">
        <v>43</v>
      </c>
      <c r="C3" s="8">
        <f>SUMIF(alış!A:A, A3, alış!F:F)</f>
        <v>30</v>
      </c>
      <c r="D3" s="8">
        <f>SUMIF(satış!B:B, A3, satış!G:G)</f>
        <v>12</v>
      </c>
      <c r="E3" s="8">
        <f t="shared" ref="E3:E42" si="0">C3-D3</f>
        <v>18</v>
      </c>
      <c r="F3" s="11">
        <v>45997</v>
      </c>
    </row>
    <row r="4" spans="1:6" x14ac:dyDescent="0.3">
      <c r="A4" s="8" t="s">
        <v>9</v>
      </c>
      <c r="B4" s="8" t="s">
        <v>43</v>
      </c>
      <c r="C4" s="8">
        <f>SUMIF(alış!A:A, A4, alış!F:F)</f>
        <v>30</v>
      </c>
      <c r="D4" s="8">
        <f>SUMIF(satış!B:B, A4, satış!G:G)</f>
        <v>4</v>
      </c>
      <c r="E4" s="8">
        <f t="shared" si="0"/>
        <v>26</v>
      </c>
      <c r="F4" s="11">
        <v>45997</v>
      </c>
    </row>
    <row r="5" spans="1:6" x14ac:dyDescent="0.3">
      <c r="A5" s="8" t="s">
        <v>10</v>
      </c>
      <c r="B5" s="8" t="s">
        <v>43</v>
      </c>
      <c r="C5" s="8">
        <f>SUMIF(alış!A:A, A5, alış!F:F)</f>
        <v>30</v>
      </c>
      <c r="D5" s="8">
        <f>SUMIF(satış!B:B, A5, satış!G:G)</f>
        <v>5</v>
      </c>
      <c r="E5" s="8">
        <f t="shared" si="0"/>
        <v>25</v>
      </c>
      <c r="F5" s="11">
        <v>45997</v>
      </c>
    </row>
    <row r="6" spans="1:6" x14ac:dyDescent="0.3">
      <c r="A6" s="8" t="s">
        <v>11</v>
      </c>
      <c r="B6" s="8" t="s">
        <v>43</v>
      </c>
      <c r="C6" s="8">
        <f>SUMIF(alış!A:A, A6, alış!F:F)</f>
        <v>30</v>
      </c>
      <c r="D6" s="8">
        <f>SUMIF(satış!B:B, A6, satış!G:G)</f>
        <v>11</v>
      </c>
      <c r="E6" s="8">
        <f t="shared" si="0"/>
        <v>19</v>
      </c>
      <c r="F6" s="11">
        <v>45997</v>
      </c>
    </row>
    <row r="7" spans="1:6" x14ac:dyDescent="0.3">
      <c r="A7" s="8" t="s">
        <v>12</v>
      </c>
      <c r="B7" s="8" t="s">
        <v>50</v>
      </c>
      <c r="C7" s="8">
        <f>SUMIF(alış!A:A, A7, alış!F:F)</f>
        <v>30</v>
      </c>
      <c r="D7" s="8">
        <f>SUMIF(satış!B:B, A7, satış!G:G)</f>
        <v>5</v>
      </c>
      <c r="E7" s="8">
        <f t="shared" si="0"/>
        <v>25</v>
      </c>
      <c r="F7" s="11">
        <v>46001</v>
      </c>
    </row>
    <row r="8" spans="1:6" x14ac:dyDescent="0.3">
      <c r="A8" s="8" t="s">
        <v>13</v>
      </c>
      <c r="B8" s="8" t="s">
        <v>50</v>
      </c>
      <c r="C8" s="8">
        <f>SUMIF(alış!A:A, A8, alış!F:F)</f>
        <v>30</v>
      </c>
      <c r="D8" s="8">
        <f>SUMIF(satış!B:B, A8, satış!G:G)</f>
        <v>5</v>
      </c>
      <c r="E8" s="8">
        <f t="shared" si="0"/>
        <v>25</v>
      </c>
      <c r="F8" s="11">
        <v>46002</v>
      </c>
    </row>
    <row r="9" spans="1:6" x14ac:dyDescent="0.3">
      <c r="A9" s="8" t="s">
        <v>14</v>
      </c>
      <c r="B9" s="8" t="s">
        <v>50</v>
      </c>
      <c r="C9" s="8">
        <f>SUMIF(alış!A:A, A9, alış!F:F)</f>
        <v>30</v>
      </c>
      <c r="D9" s="8">
        <f>SUMIF(satış!B:B, A9, satış!G:G)</f>
        <v>5</v>
      </c>
      <c r="E9" s="8">
        <f t="shared" si="0"/>
        <v>25</v>
      </c>
      <c r="F9" s="11">
        <v>46002</v>
      </c>
    </row>
    <row r="10" spans="1:6" x14ac:dyDescent="0.3">
      <c r="A10" s="8" t="s">
        <v>15</v>
      </c>
      <c r="B10" s="8" t="s">
        <v>54</v>
      </c>
      <c r="C10" s="8">
        <f>SUMIF(alış!A:A, A10, alış!F:F)</f>
        <v>30</v>
      </c>
      <c r="D10" s="8">
        <f>SUMIF(satış!B:B, A10, satış!G:G)</f>
        <v>8</v>
      </c>
      <c r="E10" s="8">
        <f t="shared" si="0"/>
        <v>22</v>
      </c>
      <c r="F10" s="11">
        <v>46002</v>
      </c>
    </row>
    <row r="11" spans="1:6" x14ac:dyDescent="0.3">
      <c r="A11" s="8" t="s">
        <v>16</v>
      </c>
      <c r="B11" s="8" t="s">
        <v>54</v>
      </c>
      <c r="C11" s="8">
        <f>SUMIF(alış!A:A, A11, alış!F:F)</f>
        <v>30</v>
      </c>
      <c r="D11" s="8">
        <f>SUMIF(satış!B:B, A11, satış!G:G)</f>
        <v>5</v>
      </c>
      <c r="E11" s="8">
        <f t="shared" si="0"/>
        <v>25</v>
      </c>
      <c r="F11" s="11">
        <v>46002</v>
      </c>
    </row>
    <row r="12" spans="1:6" x14ac:dyDescent="0.3">
      <c r="A12" s="8" t="s">
        <v>17</v>
      </c>
      <c r="B12" s="8" t="s">
        <v>54</v>
      </c>
      <c r="C12" s="8">
        <f>SUMIF(alış!A:A, A12, alış!F:F)</f>
        <v>30</v>
      </c>
      <c r="D12" s="8">
        <f>SUMIF(satış!B:B, A12, satış!G:G)</f>
        <v>11</v>
      </c>
      <c r="E12" s="8">
        <f t="shared" si="0"/>
        <v>19</v>
      </c>
      <c r="F12" s="11">
        <v>46002</v>
      </c>
    </row>
    <row r="13" spans="1:6" x14ac:dyDescent="0.3">
      <c r="A13" s="8" t="s">
        <v>18</v>
      </c>
      <c r="B13" s="8" t="s">
        <v>54</v>
      </c>
      <c r="C13" s="8">
        <f>SUMIF(alış!A:A, A13, alış!F:F)</f>
        <v>30</v>
      </c>
      <c r="D13" s="8">
        <f>SUMIF(satış!B:B, A13, satış!G:G)</f>
        <v>6</v>
      </c>
      <c r="E13" s="8">
        <f t="shared" si="0"/>
        <v>24</v>
      </c>
      <c r="F13" s="11">
        <f t="shared" ref="F13:F42" ca="1" si="1">TODAY()</f>
        <v>46028</v>
      </c>
    </row>
    <row r="14" spans="1:6" x14ac:dyDescent="0.3">
      <c r="A14" s="8" t="s">
        <v>19</v>
      </c>
      <c r="B14" s="8" t="s">
        <v>54</v>
      </c>
      <c r="C14" s="8">
        <f>SUMIF(alış!A:A, A14, alış!F:F)</f>
        <v>30</v>
      </c>
      <c r="D14" s="8">
        <f>SUMIF(satış!B:B, A14, satış!G:G)</f>
        <v>5</v>
      </c>
      <c r="E14" s="8">
        <f t="shared" si="0"/>
        <v>25</v>
      </c>
      <c r="F14" s="11">
        <f ca="1">TODAY()</f>
        <v>46028</v>
      </c>
    </row>
    <row r="15" spans="1:6" x14ac:dyDescent="0.3">
      <c r="A15" s="8" t="s">
        <v>20</v>
      </c>
      <c r="B15" s="8" t="s">
        <v>60</v>
      </c>
      <c r="C15" s="8">
        <f>SUMIF(alış!A:A, A15, alış!F:F)</f>
        <v>30</v>
      </c>
      <c r="D15" s="8">
        <f>SUMIF(satış!B:B, A15, satış!G:G)</f>
        <v>5</v>
      </c>
      <c r="E15" s="8">
        <f t="shared" si="0"/>
        <v>25</v>
      </c>
      <c r="F15" s="11">
        <f t="shared" ca="1" si="1"/>
        <v>46028</v>
      </c>
    </row>
    <row r="16" spans="1:6" x14ac:dyDescent="0.3">
      <c r="A16" s="8" t="s">
        <v>21</v>
      </c>
      <c r="B16" s="8" t="s">
        <v>60</v>
      </c>
      <c r="C16" s="8">
        <f>SUMIF(alış!A:A, A16, alış!F:F)</f>
        <v>30</v>
      </c>
      <c r="D16" s="8">
        <f>SUMIF(satış!B:B, A16, satış!G:G)</f>
        <v>5</v>
      </c>
      <c r="E16" s="8">
        <f t="shared" si="0"/>
        <v>25</v>
      </c>
      <c r="F16" s="11">
        <f t="shared" ca="1" si="1"/>
        <v>46028</v>
      </c>
    </row>
    <row r="17" spans="1:6" x14ac:dyDescent="0.3">
      <c r="A17" s="8" t="s">
        <v>22</v>
      </c>
      <c r="B17" s="8" t="s">
        <v>60</v>
      </c>
      <c r="C17" s="8">
        <f>SUMIF(alış!A:A, A17, alış!F:F)</f>
        <v>30</v>
      </c>
      <c r="D17" s="8">
        <f>SUMIF(satış!B:B, A17, satış!G:G)</f>
        <v>9</v>
      </c>
      <c r="E17" s="8">
        <f t="shared" si="0"/>
        <v>21</v>
      </c>
      <c r="F17" s="11">
        <f t="shared" ca="1" si="1"/>
        <v>46028</v>
      </c>
    </row>
    <row r="18" spans="1:6" x14ac:dyDescent="0.3">
      <c r="A18" s="8" t="s">
        <v>23</v>
      </c>
      <c r="B18" s="8" t="s">
        <v>60</v>
      </c>
      <c r="C18" s="8">
        <f>SUMIF(alış!A:A, A18, alış!F:F)</f>
        <v>30</v>
      </c>
      <c r="D18" s="8">
        <f>SUMIF(satış!B:B, A18, satış!G:G)</f>
        <v>5</v>
      </c>
      <c r="E18" s="8">
        <f t="shared" si="0"/>
        <v>25</v>
      </c>
      <c r="F18" s="11">
        <f t="shared" ca="1" si="1"/>
        <v>46028</v>
      </c>
    </row>
    <row r="19" spans="1:6" x14ac:dyDescent="0.3">
      <c r="A19" s="8" t="s">
        <v>24</v>
      </c>
      <c r="B19" s="8" t="s">
        <v>60</v>
      </c>
      <c r="C19" s="8">
        <f>SUMIF(alış!A:A, A19, alış!F:F)</f>
        <v>30</v>
      </c>
      <c r="D19" s="8">
        <f>SUMIF(satış!B:B, A19, satış!G:G)</f>
        <v>5</v>
      </c>
      <c r="E19" s="8">
        <f t="shared" si="0"/>
        <v>25</v>
      </c>
      <c r="F19" s="11">
        <f t="shared" ca="1" si="1"/>
        <v>46028</v>
      </c>
    </row>
    <row r="20" spans="1:6" x14ac:dyDescent="0.3">
      <c r="A20" s="8" t="s">
        <v>25</v>
      </c>
      <c r="B20" s="8" t="s">
        <v>66</v>
      </c>
      <c r="C20" s="8">
        <f>SUMIF(alış!A:A, A20, alış!F:F)</f>
        <v>30</v>
      </c>
      <c r="D20" s="8">
        <f>SUMIF(satış!B:B, A20, satış!G:G)</f>
        <v>7</v>
      </c>
      <c r="E20" s="8">
        <f t="shared" si="0"/>
        <v>23</v>
      </c>
      <c r="F20" s="11">
        <f t="shared" ca="1" si="1"/>
        <v>46028</v>
      </c>
    </row>
    <row r="21" spans="1:6" x14ac:dyDescent="0.3">
      <c r="A21" s="8" t="s">
        <v>26</v>
      </c>
      <c r="B21" s="8" t="s">
        <v>66</v>
      </c>
      <c r="C21" s="8">
        <f>SUMIF(alış!A:A, A21, alış!F:F)</f>
        <v>30</v>
      </c>
      <c r="D21" s="8">
        <f>SUMIF(satış!B:B, A21, satış!G:G)</f>
        <v>13</v>
      </c>
      <c r="E21" s="8">
        <f t="shared" si="0"/>
        <v>17</v>
      </c>
      <c r="F21" s="11">
        <f t="shared" ca="1" si="1"/>
        <v>46028</v>
      </c>
    </row>
    <row r="22" spans="1:6" x14ac:dyDescent="0.3">
      <c r="A22" s="8" t="s">
        <v>27</v>
      </c>
      <c r="B22" s="8" t="s">
        <v>69</v>
      </c>
      <c r="C22" s="8">
        <f>SUMIF(alış!A:A, A22, alış!F:F)</f>
        <v>30</v>
      </c>
      <c r="D22" s="8">
        <f>SUMIF(satış!B:B, A22, satış!G:G)</f>
        <v>7</v>
      </c>
      <c r="E22" s="8">
        <f t="shared" si="0"/>
        <v>23</v>
      </c>
      <c r="F22" s="11">
        <f t="shared" ca="1" si="1"/>
        <v>46028</v>
      </c>
    </row>
    <row r="23" spans="1:6" x14ac:dyDescent="0.3">
      <c r="A23" s="8" t="s">
        <v>28</v>
      </c>
      <c r="B23" s="8" t="s">
        <v>69</v>
      </c>
      <c r="C23" s="8">
        <f>SUMIF(alış!A:A, A23, alış!F:F)</f>
        <v>30</v>
      </c>
      <c r="D23" s="8">
        <f>SUMIF(satış!B:B, A23, satış!G:G)</f>
        <v>7</v>
      </c>
      <c r="E23" s="8">
        <f t="shared" si="0"/>
        <v>23</v>
      </c>
      <c r="F23" s="11">
        <f t="shared" ca="1" si="1"/>
        <v>46028</v>
      </c>
    </row>
    <row r="24" spans="1:6" x14ac:dyDescent="0.3">
      <c r="A24" s="8" t="s">
        <v>29</v>
      </c>
      <c r="B24" s="8" t="s">
        <v>69</v>
      </c>
      <c r="C24" s="8">
        <f>SUMIF(alış!A:A, A24, alış!F:F)</f>
        <v>30</v>
      </c>
      <c r="D24" s="8">
        <f>SUMIF(satış!B:B, A24, satış!G:G)</f>
        <v>9</v>
      </c>
      <c r="E24" s="8">
        <f t="shared" si="0"/>
        <v>21</v>
      </c>
      <c r="F24" s="11">
        <f t="shared" ca="1" si="1"/>
        <v>46028</v>
      </c>
    </row>
    <row r="25" spans="1:6" x14ac:dyDescent="0.3">
      <c r="A25" s="8" t="s">
        <v>30</v>
      </c>
      <c r="B25" s="8" t="s">
        <v>69</v>
      </c>
      <c r="C25" s="8">
        <f>SUMIF(alış!A:A, A25, alış!F:F)</f>
        <v>30</v>
      </c>
      <c r="D25" s="8">
        <f>SUMIF(satış!B:B, A25, satış!G:G)</f>
        <v>7</v>
      </c>
      <c r="E25" s="8">
        <f t="shared" si="0"/>
        <v>23</v>
      </c>
      <c r="F25" s="11">
        <f t="shared" ca="1" si="1"/>
        <v>46028</v>
      </c>
    </row>
    <row r="26" spans="1:6" x14ac:dyDescent="0.3">
      <c r="A26" s="8" t="s">
        <v>31</v>
      </c>
      <c r="B26" s="8" t="s">
        <v>69</v>
      </c>
      <c r="C26" s="8">
        <f>SUMIF(alış!A:A, A26, alış!F:F)</f>
        <v>30</v>
      </c>
      <c r="D26" s="8">
        <f>SUMIF(satış!B:B, A26, satış!G:G)</f>
        <v>11</v>
      </c>
      <c r="E26" s="8">
        <f t="shared" si="0"/>
        <v>19</v>
      </c>
      <c r="F26" s="11">
        <f t="shared" ca="1" si="1"/>
        <v>46028</v>
      </c>
    </row>
    <row r="27" spans="1:6" x14ac:dyDescent="0.3">
      <c r="A27" s="8" t="s">
        <v>32</v>
      </c>
      <c r="B27" s="8" t="s">
        <v>69</v>
      </c>
      <c r="C27" s="8">
        <f>SUMIF(alış!A:A, A27, alış!F:F)</f>
        <v>30</v>
      </c>
      <c r="D27" s="8">
        <f>SUMIF(satış!B:B, A27, satış!G:G)</f>
        <v>8</v>
      </c>
      <c r="E27" s="8">
        <f t="shared" si="0"/>
        <v>22</v>
      </c>
      <c r="F27" s="11">
        <f t="shared" ca="1" si="1"/>
        <v>46028</v>
      </c>
    </row>
    <row r="28" spans="1:6" x14ac:dyDescent="0.3">
      <c r="A28" s="8" t="s">
        <v>33</v>
      </c>
      <c r="B28" s="8" t="s">
        <v>76</v>
      </c>
      <c r="C28" s="8">
        <f>SUMIF(alış!A:A, A28, alış!F:F)</f>
        <v>30</v>
      </c>
      <c r="D28" s="8">
        <f>SUMIF(satış!B:B, A28, satış!G:G)</f>
        <v>7</v>
      </c>
      <c r="E28" s="8">
        <f t="shared" si="0"/>
        <v>23</v>
      </c>
      <c r="F28" s="11">
        <f t="shared" ca="1" si="1"/>
        <v>46028</v>
      </c>
    </row>
    <row r="29" spans="1:6" x14ac:dyDescent="0.3">
      <c r="A29" s="8" t="s">
        <v>34</v>
      </c>
      <c r="B29" s="8" t="s">
        <v>76</v>
      </c>
      <c r="C29" s="8">
        <f>SUMIF(alış!A:A, A29, alış!F:F)</f>
        <v>30</v>
      </c>
      <c r="D29" s="8">
        <f>SUMIF(satış!B:B, A29, satış!G:G)</f>
        <v>8</v>
      </c>
      <c r="E29" s="8">
        <f t="shared" si="0"/>
        <v>22</v>
      </c>
      <c r="F29" s="11">
        <f t="shared" ca="1" si="1"/>
        <v>46028</v>
      </c>
    </row>
    <row r="30" spans="1:6" x14ac:dyDescent="0.3">
      <c r="A30" s="8" t="s">
        <v>35</v>
      </c>
      <c r="B30" s="8" t="s">
        <v>76</v>
      </c>
      <c r="C30" s="8">
        <f>SUMIF(alış!A:A, A30, alış!F:F)</f>
        <v>30</v>
      </c>
      <c r="D30" s="8">
        <f>SUMIF(satış!B:B, A30, satış!G:G)</f>
        <v>7</v>
      </c>
      <c r="E30" s="8">
        <f t="shared" si="0"/>
        <v>23</v>
      </c>
      <c r="F30" s="11">
        <f t="shared" ca="1" si="1"/>
        <v>46028</v>
      </c>
    </row>
    <row r="31" spans="1:6" x14ac:dyDescent="0.3">
      <c r="A31" s="8" t="s">
        <v>36</v>
      </c>
      <c r="B31" s="8" t="s">
        <v>76</v>
      </c>
      <c r="C31" s="8">
        <f>SUMIF(alış!A:A, A31, alış!F:F)</f>
        <v>30</v>
      </c>
      <c r="D31" s="8">
        <f>SUMIF(satış!B:B, A31, satış!G:G)</f>
        <v>9</v>
      </c>
      <c r="E31" s="8">
        <f t="shared" si="0"/>
        <v>21</v>
      </c>
      <c r="F31" s="11">
        <f t="shared" ca="1" si="1"/>
        <v>46028</v>
      </c>
    </row>
    <row r="32" spans="1:6" x14ac:dyDescent="0.3">
      <c r="A32" s="8" t="s">
        <v>37</v>
      </c>
      <c r="B32" s="8" t="s">
        <v>76</v>
      </c>
      <c r="C32" s="8">
        <f>SUMIF(alış!A:A, A32, alış!F:F)</f>
        <v>30</v>
      </c>
      <c r="D32" s="8">
        <f>SUMIF(satış!B:B, A32, satış!G:G)</f>
        <v>7</v>
      </c>
      <c r="E32" s="8">
        <f t="shared" si="0"/>
        <v>23</v>
      </c>
      <c r="F32" s="11">
        <f t="shared" ca="1" si="1"/>
        <v>46028</v>
      </c>
    </row>
    <row r="33" spans="1:6" x14ac:dyDescent="0.3">
      <c r="A33" s="8" t="s">
        <v>38</v>
      </c>
      <c r="B33" s="8" t="s">
        <v>82</v>
      </c>
      <c r="C33" s="8">
        <f>SUMIF(alış!A:A, A33, alış!F:F)</f>
        <v>30</v>
      </c>
      <c r="D33" s="8">
        <f>SUMIF(satış!B:B, A33, satış!G:G)</f>
        <v>11</v>
      </c>
      <c r="E33" s="8">
        <f t="shared" si="0"/>
        <v>19</v>
      </c>
      <c r="F33" s="11">
        <f t="shared" ca="1" si="1"/>
        <v>46028</v>
      </c>
    </row>
    <row r="34" spans="1:6" x14ac:dyDescent="0.3">
      <c r="A34" s="8" t="s">
        <v>39</v>
      </c>
      <c r="B34" s="8" t="s">
        <v>82</v>
      </c>
      <c r="C34" s="8">
        <f>SUMIF(alış!A:A, A34, alış!F:F)</f>
        <v>30</v>
      </c>
      <c r="D34" s="8">
        <f>SUMIF(satış!B:B, A34, satış!G:G)</f>
        <v>7</v>
      </c>
      <c r="E34" s="8">
        <f t="shared" si="0"/>
        <v>23</v>
      </c>
      <c r="F34" s="11">
        <f t="shared" ca="1" si="1"/>
        <v>46028</v>
      </c>
    </row>
    <row r="35" spans="1:6" x14ac:dyDescent="0.3">
      <c r="A35" s="8" t="s">
        <v>40</v>
      </c>
      <c r="B35" s="8" t="s">
        <v>82</v>
      </c>
      <c r="C35" s="8">
        <f>SUMIF(alış!A:A, A35, alış!F:F)</f>
        <v>30</v>
      </c>
      <c r="D35" s="8">
        <f>SUMIF(satış!B:B, A35, satış!G:G)</f>
        <v>3</v>
      </c>
      <c r="E35" s="8">
        <f t="shared" si="0"/>
        <v>27</v>
      </c>
      <c r="F35" s="11">
        <f t="shared" ca="1" si="1"/>
        <v>46028</v>
      </c>
    </row>
    <row r="36" spans="1:6" x14ac:dyDescent="0.3">
      <c r="A36" s="8" t="s">
        <v>41</v>
      </c>
      <c r="B36" s="8" t="s">
        <v>82</v>
      </c>
      <c r="C36" s="8">
        <f>SUMIF(alış!A:A, A36, alış!F:F)</f>
        <v>30</v>
      </c>
      <c r="D36" s="8">
        <f>SUMIF(satış!B:B, A36, satış!G:G)</f>
        <v>22</v>
      </c>
      <c r="E36" s="8">
        <f t="shared" si="0"/>
        <v>8</v>
      </c>
      <c r="F36" s="11">
        <f t="shared" ca="1" si="1"/>
        <v>46028</v>
      </c>
    </row>
    <row r="37" spans="1:6" x14ac:dyDescent="0.3">
      <c r="A37" s="8" t="s">
        <v>83</v>
      </c>
      <c r="B37" s="8" t="s">
        <v>82</v>
      </c>
      <c r="C37" s="8">
        <f>SUMIF(alış!A:A, A37, alış!F:F)</f>
        <v>30</v>
      </c>
      <c r="D37" s="8">
        <f>SUMIF(satış!B:B, A37, satış!G:G)</f>
        <v>14</v>
      </c>
      <c r="E37" s="8">
        <f t="shared" si="0"/>
        <v>16</v>
      </c>
      <c r="F37" s="11">
        <f t="shared" ca="1" si="1"/>
        <v>46028</v>
      </c>
    </row>
    <row r="38" spans="1:6" x14ac:dyDescent="0.3">
      <c r="A38" s="8" t="s">
        <v>84</v>
      </c>
      <c r="B38" s="8" t="s">
        <v>93</v>
      </c>
      <c r="C38" s="8">
        <f>SUMIF(alış!A:A, A38, alış!F:F)</f>
        <v>30</v>
      </c>
      <c r="D38" s="8">
        <f>SUMIF(satış!B:B, A38, satış!G:G)</f>
        <v>45</v>
      </c>
      <c r="E38" s="8">
        <f t="shared" si="0"/>
        <v>-15</v>
      </c>
      <c r="F38" s="11">
        <f t="shared" ca="1" si="1"/>
        <v>46028</v>
      </c>
    </row>
    <row r="39" spans="1:6" x14ac:dyDescent="0.3">
      <c r="A39" s="8" t="s">
        <v>85</v>
      </c>
      <c r="B39" s="8" t="s">
        <v>93</v>
      </c>
      <c r="C39" s="8">
        <f>SUMIF(alış!A:A, A39, alış!F:F)</f>
        <v>30</v>
      </c>
      <c r="D39" s="8">
        <f>SUMIF(satış!B:B, A39, satış!G:G)</f>
        <v>14</v>
      </c>
      <c r="E39" s="8">
        <f t="shared" si="0"/>
        <v>16</v>
      </c>
      <c r="F39" s="11">
        <f t="shared" ca="1" si="1"/>
        <v>46028</v>
      </c>
    </row>
    <row r="40" spans="1:6" x14ac:dyDescent="0.3">
      <c r="A40" s="8" t="s">
        <v>86</v>
      </c>
      <c r="B40" s="8" t="s">
        <v>93</v>
      </c>
      <c r="C40" s="8">
        <f>SUMIF(alış!A:A, A40, alış!F:F)</f>
        <v>30</v>
      </c>
      <c r="D40" s="8">
        <f>SUMIF(satış!B:B, A40, satış!G:G)</f>
        <v>17</v>
      </c>
      <c r="E40" s="8">
        <f t="shared" si="0"/>
        <v>13</v>
      </c>
      <c r="F40" s="11">
        <f t="shared" ca="1" si="1"/>
        <v>46028</v>
      </c>
    </row>
    <row r="41" spans="1:6" x14ac:dyDescent="0.3">
      <c r="A41" s="8" t="s">
        <v>87</v>
      </c>
      <c r="B41" s="8" t="s">
        <v>93</v>
      </c>
      <c r="C41" s="8">
        <f>SUMIF(alış!A:A, A41, alış!F:F)</f>
        <v>30</v>
      </c>
      <c r="D41" s="8">
        <f>SUMIF(satış!B:B, A41, satış!G:G)</f>
        <v>14</v>
      </c>
      <c r="E41" s="8">
        <f t="shared" si="0"/>
        <v>16</v>
      </c>
      <c r="F41" s="11">
        <f t="shared" ca="1" si="1"/>
        <v>46028</v>
      </c>
    </row>
    <row r="42" spans="1:6" x14ac:dyDescent="0.3">
      <c r="A42" s="8" t="s">
        <v>88</v>
      </c>
      <c r="B42" s="8" t="s">
        <v>93</v>
      </c>
      <c r="C42" s="8">
        <f>SUMIF(alış!A:A, A42, alış!F:F)</f>
        <v>30</v>
      </c>
      <c r="D42" s="8">
        <f>SUMIF(satış!B:B, A42, satış!G:G)</f>
        <v>13</v>
      </c>
      <c r="E42" s="8">
        <f t="shared" si="0"/>
        <v>17</v>
      </c>
      <c r="F42" s="11">
        <f t="shared" ca="1" si="1"/>
        <v>46028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102" zoomScaleNormal="102" workbookViewId="0">
      <selection activeCell="K9" sqref="K9"/>
    </sheetView>
  </sheetViews>
  <sheetFormatPr defaultRowHeight="14.4" x14ac:dyDescent="0.3"/>
  <cols>
    <col min="1" max="1" width="11.33203125" customWidth="1"/>
    <col min="2" max="2" width="10.33203125" customWidth="1"/>
    <col min="4" max="4" width="11.109375" customWidth="1"/>
    <col min="5" max="5" width="14.6640625" customWidth="1"/>
    <col min="6" max="6" width="9.6640625" customWidth="1"/>
    <col min="7" max="7" width="11.109375" customWidth="1"/>
    <col min="8" max="8" width="14.21875" customWidth="1"/>
  </cols>
  <sheetData>
    <row r="1" spans="1:10" x14ac:dyDescent="0.3">
      <c r="A1" t="s">
        <v>99</v>
      </c>
      <c r="B1" t="s">
        <v>0</v>
      </c>
      <c r="C1" t="s">
        <v>1</v>
      </c>
      <c r="D1" t="s">
        <v>2</v>
      </c>
      <c r="E1" t="s">
        <v>3</v>
      </c>
      <c r="F1" t="s">
        <v>100</v>
      </c>
      <c r="G1" t="s">
        <v>102</v>
      </c>
      <c r="H1" t="s">
        <v>103</v>
      </c>
      <c r="I1" t="s">
        <v>121</v>
      </c>
      <c r="J1" t="s">
        <v>122</v>
      </c>
    </row>
    <row r="2" spans="1:10" x14ac:dyDescent="0.3">
      <c r="A2" s="3">
        <v>45997</v>
      </c>
      <c r="B2" t="s">
        <v>7</v>
      </c>
      <c r="C2" t="str">
        <f>VLOOKUP(B2,alış!$A$2:$G$99,2,FALSE)</f>
        <v>Meyve</v>
      </c>
      <c r="D2" t="str">
        <f>VLOOKUP(B2,alış!$A$2:$G$99,3,FALSE)</f>
        <v>Elma</v>
      </c>
      <c r="E2" t="str">
        <f>VLOOKUP(B2,alış!$A$2:$G$99,4,FALSE)</f>
        <v>Golden</v>
      </c>
      <c r="F2">
        <f>VLOOKUP(B2,alış!$A$2:$G$99,7,FALSE)</f>
        <v>10</v>
      </c>
      <c r="G2">
        <v>8</v>
      </c>
      <c r="H2">
        <f>F2*G2</f>
        <v>80</v>
      </c>
      <c r="I2">
        <f>MONTH(A6)</f>
        <v>12</v>
      </c>
      <c r="J2">
        <f>YEAR(A6)</f>
        <v>2025</v>
      </c>
    </row>
    <row r="3" spans="1:10" x14ac:dyDescent="0.3">
      <c r="A3" s="3">
        <v>45997</v>
      </c>
      <c r="B3" t="s">
        <v>8</v>
      </c>
      <c r="C3" t="str">
        <f>VLOOKUP(B3,alış!$A$2:$G$99,2,FALSE)</f>
        <v>Meyve</v>
      </c>
      <c r="D3" t="str">
        <f>VLOOKUP(B3,alış!$A$2:$G$99,3,FALSE)</f>
        <v>Elma</v>
      </c>
      <c r="E3" t="str">
        <f>VLOOKUP(B3,alış!$A$2:$G$99,4,FALSE)</f>
        <v>Starking</v>
      </c>
      <c r="F3">
        <f>VLOOKUP(B3,alış!$A$2:$G$99,7,FALSE)</f>
        <v>9</v>
      </c>
      <c r="G3">
        <v>12</v>
      </c>
      <c r="H3">
        <f t="shared" ref="H3:H42" si="0">F3*G3</f>
        <v>108</v>
      </c>
      <c r="I3">
        <v>12</v>
      </c>
      <c r="J3">
        <v>2025</v>
      </c>
    </row>
    <row r="4" spans="1:10" x14ac:dyDescent="0.3">
      <c r="A4" s="3">
        <v>45997</v>
      </c>
      <c r="B4" t="s">
        <v>9</v>
      </c>
      <c r="C4" t="str">
        <f>VLOOKUP(B4,alış!$A$2:$G$99,2,FALSE)</f>
        <v>Meyve</v>
      </c>
      <c r="D4" t="str">
        <f>VLOOKUP(B4,alış!$A$2:$G$99,3,FALSE)</f>
        <v>Elma</v>
      </c>
      <c r="E4" t="str">
        <f>VLOOKUP(B4,alış!$A$2:$G$99,4,FALSE)</f>
        <v>Amasya</v>
      </c>
      <c r="F4">
        <f>VLOOKUP(B4,alış!$A$2:$G$99,7,FALSE)</f>
        <v>8</v>
      </c>
      <c r="G4" s="6">
        <v>4</v>
      </c>
      <c r="H4">
        <f t="shared" si="0"/>
        <v>32</v>
      </c>
      <c r="I4">
        <f t="shared" ref="I4:I42" si="1">MONTH(A4)</f>
        <v>12</v>
      </c>
      <c r="J4">
        <f t="shared" ref="J4:J42" si="2">YEAR(A4)</f>
        <v>2025</v>
      </c>
    </row>
    <row r="5" spans="1:10" x14ac:dyDescent="0.3">
      <c r="A5" s="3">
        <v>45997</v>
      </c>
      <c r="B5" t="s">
        <v>10</v>
      </c>
      <c r="C5" t="str">
        <f>VLOOKUP(B5,alış!$A$2:$G$99,2,FALSE)</f>
        <v>Meyve</v>
      </c>
      <c r="D5" t="str">
        <f>VLOOKUP(B5,alış!$A$2:$G$99,3,FALSE)</f>
        <v>Elma</v>
      </c>
      <c r="E5" t="str">
        <f>VLOOKUP(B5,alış!$A$2:$G$99,4,FALSE)</f>
        <v>granny smith</v>
      </c>
      <c r="F5">
        <f>VLOOKUP(B5,alış!$A$2:$G$99,7,FALSE)</f>
        <v>10</v>
      </c>
      <c r="G5">
        <v>5</v>
      </c>
      <c r="H5">
        <f t="shared" si="0"/>
        <v>50</v>
      </c>
      <c r="I5">
        <f t="shared" si="1"/>
        <v>12</v>
      </c>
      <c r="J5">
        <f t="shared" si="2"/>
        <v>2025</v>
      </c>
    </row>
    <row r="6" spans="1:10" x14ac:dyDescent="0.3">
      <c r="A6" s="3">
        <v>45997</v>
      </c>
      <c r="B6" t="s">
        <v>11</v>
      </c>
      <c r="C6" t="str">
        <f>VLOOKUP(B6,alış!$A$2:$G$99,2,FALSE)</f>
        <v>Meyve</v>
      </c>
      <c r="D6" t="str">
        <f>VLOOKUP(B6,alış!$A$2:$G$99,3,FALSE)</f>
        <v>Elma</v>
      </c>
      <c r="E6" t="str">
        <f>VLOOKUP(B6,alış!$A$2:$G$99,4,FALSE)</f>
        <v>fuji</v>
      </c>
      <c r="F6">
        <f>VLOOKUP(B6,alış!$A$2:$G$99,7,FALSE)</f>
        <v>11</v>
      </c>
      <c r="G6">
        <v>11</v>
      </c>
      <c r="H6">
        <f t="shared" si="0"/>
        <v>121</v>
      </c>
      <c r="I6">
        <v>12</v>
      </c>
      <c r="J6">
        <v>2025</v>
      </c>
    </row>
    <row r="7" spans="1:10" x14ac:dyDescent="0.3">
      <c r="A7" s="3">
        <v>46001</v>
      </c>
      <c r="B7" t="s">
        <v>12</v>
      </c>
      <c r="C7" t="str">
        <f>VLOOKUP(B7,alış!$A$2:$G$99,2,FALSE)</f>
        <v>Meyve</v>
      </c>
      <c r="D7" t="str">
        <f>VLOOKUP(B7,alış!$A$2:$G$99,3,FALSE)</f>
        <v>muz</v>
      </c>
      <c r="E7" t="str">
        <f>VLOOKUP(B7,alış!$A$2:$G$99,4,FALSE)</f>
        <v>cavendish</v>
      </c>
      <c r="F7">
        <f>VLOOKUP(B7,alış!$A$2:$G$99,7,FALSE)</f>
        <v>12</v>
      </c>
      <c r="G7">
        <v>5</v>
      </c>
      <c r="H7">
        <f t="shared" si="0"/>
        <v>60</v>
      </c>
      <c r="I7">
        <f t="shared" si="1"/>
        <v>12</v>
      </c>
      <c r="J7">
        <f t="shared" si="2"/>
        <v>2025</v>
      </c>
    </row>
    <row r="8" spans="1:10" x14ac:dyDescent="0.3">
      <c r="A8" s="3">
        <v>46002</v>
      </c>
      <c r="B8" t="s">
        <v>13</v>
      </c>
      <c r="C8" t="str">
        <f>VLOOKUP(B8,alış!$A$2:$G$99,2,FALSE)</f>
        <v>Meyve</v>
      </c>
      <c r="D8" t="str">
        <f>VLOOKUP(B8,alış!$A$2:$G$99,3,FALSE)</f>
        <v>muz</v>
      </c>
      <c r="E8" t="str">
        <f>VLOOKUP(B8,alış!$A$2:$G$99,4,FALSE)</f>
        <v>gros michel</v>
      </c>
      <c r="F8">
        <f>VLOOKUP(B8,alış!$A$2:$G$99,7,FALSE)</f>
        <v>13</v>
      </c>
      <c r="G8">
        <v>5</v>
      </c>
      <c r="H8">
        <f t="shared" si="0"/>
        <v>65</v>
      </c>
      <c r="I8">
        <f t="shared" si="1"/>
        <v>12</v>
      </c>
      <c r="J8">
        <f t="shared" si="2"/>
        <v>2025</v>
      </c>
    </row>
    <row r="9" spans="1:10" x14ac:dyDescent="0.3">
      <c r="A9" s="3">
        <v>46002</v>
      </c>
      <c r="B9" t="s">
        <v>14</v>
      </c>
      <c r="C9" t="str">
        <f>VLOOKUP(B9,alış!$A$2:$G$99,2,FALSE)</f>
        <v>Meyve</v>
      </c>
      <c r="D9" t="str">
        <f>VLOOKUP(B9,alış!$A$2:$G$99,3,FALSE)</f>
        <v>muz</v>
      </c>
      <c r="E9" t="str">
        <f>VLOOKUP(B9,alış!$A$2:$G$99,4,FALSE)</f>
        <v>lady finger</v>
      </c>
      <c r="F9">
        <f>VLOOKUP(B9,alış!$A$2:$G$99,7,FALSE)</f>
        <v>10</v>
      </c>
      <c r="G9">
        <v>5</v>
      </c>
      <c r="H9">
        <f t="shared" si="0"/>
        <v>50</v>
      </c>
      <c r="I9">
        <f t="shared" si="1"/>
        <v>12</v>
      </c>
      <c r="J9">
        <f t="shared" si="2"/>
        <v>2025</v>
      </c>
    </row>
    <row r="10" spans="1:10" x14ac:dyDescent="0.3">
      <c r="A10" s="3">
        <v>46002</v>
      </c>
      <c r="B10" t="s">
        <v>15</v>
      </c>
      <c r="C10" t="str">
        <f>VLOOKUP(B10,alış!$A$2:$G$99,2,FALSE)</f>
        <v>Meyve</v>
      </c>
      <c r="D10" t="str">
        <f>VLOOKUP(B10,alış!$A$2:$G$99,3,FALSE)</f>
        <v>portakal</v>
      </c>
      <c r="E10" t="str">
        <f>VLOOKUP(B10,alış!$A$2:$G$99,4,FALSE)</f>
        <v>washington</v>
      </c>
      <c r="F10">
        <f>VLOOKUP(B10,alış!$A$2:$G$99,7,FALSE)</f>
        <v>8</v>
      </c>
      <c r="G10">
        <v>8</v>
      </c>
      <c r="H10">
        <f t="shared" si="0"/>
        <v>64</v>
      </c>
      <c r="I10">
        <f t="shared" si="1"/>
        <v>12</v>
      </c>
      <c r="J10">
        <f t="shared" si="2"/>
        <v>2025</v>
      </c>
    </row>
    <row r="11" spans="1:10" x14ac:dyDescent="0.3">
      <c r="A11" s="3">
        <v>46002</v>
      </c>
      <c r="B11" t="s">
        <v>16</v>
      </c>
      <c r="C11" t="str">
        <f>VLOOKUP(B11,alış!$A$2:$G$99,2,FALSE)</f>
        <v>Meyve</v>
      </c>
      <c r="D11" t="str">
        <f>VLOOKUP(B11,alış!$A$2:$G$99,3,FALSE)</f>
        <v>portakal</v>
      </c>
      <c r="E11" t="str">
        <f>VLOOKUP(B11,alış!$A$2:$G$99,4,FALSE)</f>
        <v>valencia</v>
      </c>
      <c r="F11">
        <f>VLOOKUP(B11,alış!$A$2:$G$99,7,FALSE)</f>
        <v>7</v>
      </c>
      <c r="G11">
        <v>5</v>
      </c>
      <c r="H11">
        <f t="shared" si="0"/>
        <v>35</v>
      </c>
      <c r="I11">
        <f t="shared" si="1"/>
        <v>12</v>
      </c>
      <c r="J11">
        <f t="shared" si="2"/>
        <v>2025</v>
      </c>
    </row>
    <row r="12" spans="1:10" x14ac:dyDescent="0.3">
      <c r="A12" s="3">
        <v>46002</v>
      </c>
      <c r="B12" t="s">
        <v>17</v>
      </c>
      <c r="C12" t="str">
        <f>VLOOKUP(B12,alış!$A$2:$G$99,2,FALSE)</f>
        <v>Meyve</v>
      </c>
      <c r="D12" t="str">
        <f>VLOOKUP(B12,alış!$A$2:$G$99,3,FALSE)</f>
        <v>portakal</v>
      </c>
      <c r="E12" t="str">
        <f>VLOOKUP(B12,alış!$A$2:$G$99,4,FALSE)</f>
        <v>moro</v>
      </c>
      <c r="F12">
        <f>VLOOKUP(B12,alış!$A$2:$G$99,7,FALSE)</f>
        <v>9</v>
      </c>
      <c r="G12">
        <v>11</v>
      </c>
      <c r="H12">
        <f t="shared" si="0"/>
        <v>99</v>
      </c>
      <c r="I12">
        <f t="shared" si="1"/>
        <v>12</v>
      </c>
      <c r="J12">
        <f t="shared" si="2"/>
        <v>2025</v>
      </c>
    </row>
    <row r="13" spans="1:10" x14ac:dyDescent="0.3">
      <c r="A13" s="3">
        <f t="shared" ref="A13:A42" ca="1" si="3">TODAY()</f>
        <v>46028</v>
      </c>
      <c r="B13" t="s">
        <v>18</v>
      </c>
      <c r="C13" t="str">
        <f>VLOOKUP(B13,alış!$A$2:$G$99,2,FALSE)</f>
        <v>Meyve</v>
      </c>
      <c r="D13" t="str">
        <f>VLOOKUP(B13,alış!$A$2:$G$99,3,FALSE)</f>
        <v>portakal</v>
      </c>
      <c r="E13" t="str">
        <f>VLOOKUP(B13,alış!$A$2:$G$99,4,FALSE)</f>
        <v>bergamot</v>
      </c>
      <c r="F13">
        <f>VLOOKUP(B13,alış!$A$2:$G$99,7,FALSE)</f>
        <v>10</v>
      </c>
      <c r="G13">
        <v>6</v>
      </c>
      <c r="H13">
        <f t="shared" si="0"/>
        <v>60</v>
      </c>
      <c r="I13">
        <f t="shared" ca="1" si="1"/>
        <v>1</v>
      </c>
      <c r="J13">
        <f t="shared" ca="1" si="2"/>
        <v>2026</v>
      </c>
    </row>
    <row r="14" spans="1:10" x14ac:dyDescent="0.3">
      <c r="A14" s="3">
        <f ca="1">TODAY()</f>
        <v>46028</v>
      </c>
      <c r="B14" t="s">
        <v>19</v>
      </c>
      <c r="C14" t="str">
        <f>VLOOKUP(B14,alış!$A$2:$G$99,2,FALSE)</f>
        <v>Meyve</v>
      </c>
      <c r="D14" t="str">
        <f>VLOOKUP(B14,alış!$A$2:$G$99,3,FALSE)</f>
        <v>portakal</v>
      </c>
      <c r="E14" t="str">
        <f>VLOOKUP(B14,alış!$A$2:$G$99,4,FALSE)</f>
        <v>pomeran</v>
      </c>
      <c r="F14">
        <f>VLOOKUP(B14,alış!$A$2:$G$99,7,FALSE)</f>
        <v>8</v>
      </c>
      <c r="G14">
        <v>5</v>
      </c>
      <c r="H14">
        <f t="shared" si="0"/>
        <v>40</v>
      </c>
      <c r="I14">
        <f t="shared" ca="1" si="1"/>
        <v>1</v>
      </c>
      <c r="J14">
        <f t="shared" ca="1" si="2"/>
        <v>2026</v>
      </c>
    </row>
    <row r="15" spans="1:10" x14ac:dyDescent="0.3">
      <c r="A15" s="3">
        <f t="shared" ca="1" si="3"/>
        <v>46028</v>
      </c>
      <c r="B15" t="s">
        <v>20</v>
      </c>
      <c r="C15" t="str">
        <f>VLOOKUP(B15,alış!$A$2:$G$99,2,FALSE)</f>
        <v>Meyve</v>
      </c>
      <c r="D15" t="str">
        <f>VLOOKUP(B15,alış!$A$2:$G$99,3,FALSE)</f>
        <v>mandalina</v>
      </c>
      <c r="E15" t="str">
        <f>VLOOKUP(B15,alış!$A$2:$G$99,4,FALSE)</f>
        <v>satsuma</v>
      </c>
      <c r="F15">
        <f>VLOOKUP(B15,alış!$A$2:$G$99,7,FALSE)</f>
        <v>7</v>
      </c>
      <c r="G15">
        <v>5</v>
      </c>
      <c r="H15">
        <f t="shared" si="0"/>
        <v>35</v>
      </c>
      <c r="I15">
        <f t="shared" ca="1" si="1"/>
        <v>1</v>
      </c>
      <c r="J15">
        <f t="shared" ca="1" si="2"/>
        <v>2026</v>
      </c>
    </row>
    <row r="16" spans="1:10" x14ac:dyDescent="0.3">
      <c r="A16" s="3">
        <f t="shared" ca="1" si="3"/>
        <v>46028</v>
      </c>
      <c r="B16" t="s">
        <v>21</v>
      </c>
      <c r="C16" t="str">
        <f>VLOOKUP(B16,alış!$A$2:$G$99,2,FALSE)</f>
        <v>Meyve</v>
      </c>
      <c r="D16" t="str">
        <f>VLOOKUP(B16,alış!$A$2:$G$99,3,FALSE)</f>
        <v>mandalina</v>
      </c>
      <c r="E16" t="str">
        <f>VLOOKUP(B16,alış!$A$2:$G$99,4,FALSE)</f>
        <v>clementine</v>
      </c>
      <c r="F16">
        <f>VLOOKUP(B16,alış!$A$2:$G$99,7,FALSE)</f>
        <v>8</v>
      </c>
      <c r="G16">
        <v>5</v>
      </c>
      <c r="H16">
        <f t="shared" si="0"/>
        <v>40</v>
      </c>
      <c r="I16">
        <f t="shared" ca="1" si="1"/>
        <v>1</v>
      </c>
      <c r="J16">
        <f t="shared" ca="1" si="2"/>
        <v>2026</v>
      </c>
    </row>
    <row r="17" spans="1:10" x14ac:dyDescent="0.3">
      <c r="A17" s="3">
        <f t="shared" ca="1" si="3"/>
        <v>46028</v>
      </c>
      <c r="B17" t="s">
        <v>22</v>
      </c>
      <c r="C17" t="str">
        <f>VLOOKUP(B17,alış!$A$2:$G$99,2,FALSE)</f>
        <v>Meyve</v>
      </c>
      <c r="D17" t="str">
        <f>VLOOKUP(B17,alış!$A$2:$G$99,3,FALSE)</f>
        <v>mandalina</v>
      </c>
      <c r="E17" t="str">
        <f>VLOOKUP(B17,alış!$A$2:$G$99,4,FALSE)</f>
        <v>ponkan</v>
      </c>
      <c r="F17">
        <f>VLOOKUP(B17,alış!$A$2:$G$99,7,FALSE)</f>
        <v>8</v>
      </c>
      <c r="G17">
        <v>9</v>
      </c>
      <c r="H17">
        <f t="shared" si="0"/>
        <v>72</v>
      </c>
      <c r="I17">
        <f t="shared" ca="1" si="1"/>
        <v>1</v>
      </c>
      <c r="J17">
        <f t="shared" ca="1" si="2"/>
        <v>2026</v>
      </c>
    </row>
    <row r="18" spans="1:10" x14ac:dyDescent="0.3">
      <c r="A18" s="3">
        <f t="shared" ca="1" si="3"/>
        <v>46028</v>
      </c>
      <c r="B18" t="s">
        <v>23</v>
      </c>
      <c r="C18" t="str">
        <f>VLOOKUP(B18,alış!$A$2:$G$99,2,FALSE)</f>
        <v>Meyve</v>
      </c>
      <c r="D18" t="str">
        <f>VLOOKUP(B18,alış!$A$2:$G$99,3,FALSE)</f>
        <v>mandalina</v>
      </c>
      <c r="E18" t="str">
        <f>VLOOKUP(B18,alış!$A$2:$G$99,4,FALSE)</f>
        <v>ortanique</v>
      </c>
      <c r="F18">
        <f>VLOOKUP(B18,alış!$A$2:$G$99,7,FALSE)</f>
        <v>9</v>
      </c>
      <c r="G18">
        <v>5</v>
      </c>
      <c r="H18">
        <f t="shared" si="0"/>
        <v>45</v>
      </c>
      <c r="I18">
        <f t="shared" ca="1" si="1"/>
        <v>1</v>
      </c>
      <c r="J18">
        <f t="shared" ca="1" si="2"/>
        <v>2026</v>
      </c>
    </row>
    <row r="19" spans="1:10" x14ac:dyDescent="0.3">
      <c r="A19" s="3">
        <f t="shared" ca="1" si="3"/>
        <v>46028</v>
      </c>
      <c r="B19" t="s">
        <v>24</v>
      </c>
      <c r="C19" t="str">
        <f>VLOOKUP(B19,alış!$A$2:$G$99,2,FALSE)</f>
        <v>Meyve</v>
      </c>
      <c r="D19" t="str">
        <f>VLOOKUP(B19,alış!$A$2:$G$99,3,FALSE)</f>
        <v>mandalina</v>
      </c>
      <c r="E19" t="str">
        <f>VLOOKUP(B19,alış!$A$2:$G$99,4,FALSE)</f>
        <v>murcott honey</v>
      </c>
      <c r="F19">
        <f>VLOOKUP(B19,alış!$A$2:$G$99,7,FALSE)</f>
        <v>9</v>
      </c>
      <c r="G19">
        <v>5</v>
      </c>
      <c r="H19">
        <f t="shared" si="0"/>
        <v>45</v>
      </c>
      <c r="I19">
        <f t="shared" ca="1" si="1"/>
        <v>1</v>
      </c>
      <c r="J19">
        <f t="shared" ca="1" si="2"/>
        <v>2026</v>
      </c>
    </row>
    <row r="20" spans="1:10" x14ac:dyDescent="0.3">
      <c r="A20" s="3">
        <f t="shared" ca="1" si="3"/>
        <v>46028</v>
      </c>
      <c r="B20" t="s">
        <v>25</v>
      </c>
      <c r="C20" t="str">
        <f>VLOOKUP(B20,alış!$A$2:$G$99,2,FALSE)</f>
        <v>Meyve</v>
      </c>
      <c r="D20" t="str">
        <f>VLOOKUP(B20,alış!$A$2:$G$99,3,FALSE)</f>
        <v>greyfurt</v>
      </c>
      <c r="E20" t="str">
        <f>VLOOKUP(B20,alış!$A$2:$G$99,4,FALSE)</f>
        <v>ruby red</v>
      </c>
      <c r="F20">
        <f>VLOOKUP(B20,alış!$A$2:$G$99,7,FALSE)</f>
        <v>12</v>
      </c>
      <c r="G20">
        <v>7</v>
      </c>
      <c r="H20">
        <f t="shared" si="0"/>
        <v>84</v>
      </c>
      <c r="I20">
        <f t="shared" ca="1" si="1"/>
        <v>1</v>
      </c>
      <c r="J20">
        <f t="shared" ca="1" si="2"/>
        <v>2026</v>
      </c>
    </row>
    <row r="21" spans="1:10" x14ac:dyDescent="0.3">
      <c r="A21" s="3">
        <f t="shared" ca="1" si="3"/>
        <v>46028</v>
      </c>
      <c r="B21" t="s">
        <v>26</v>
      </c>
      <c r="C21" t="str">
        <f>VLOOKUP(B21,alış!$A$2:$G$99,2,FALSE)</f>
        <v>Meyve</v>
      </c>
      <c r="D21" t="str">
        <f>VLOOKUP(B21,alış!$A$2:$G$99,3,FALSE)</f>
        <v>greyfurt</v>
      </c>
      <c r="E21" t="str">
        <f>VLOOKUP(B21,alış!$A$2:$G$99,4,FALSE)</f>
        <v>pink</v>
      </c>
      <c r="F21">
        <f>VLOOKUP(B21,alış!$A$2:$G$99,7,FALSE)</f>
        <v>11</v>
      </c>
      <c r="G21">
        <v>13</v>
      </c>
      <c r="H21">
        <f t="shared" si="0"/>
        <v>143</v>
      </c>
      <c r="I21">
        <f t="shared" ca="1" si="1"/>
        <v>1</v>
      </c>
      <c r="J21">
        <f t="shared" ca="1" si="2"/>
        <v>2026</v>
      </c>
    </row>
    <row r="22" spans="1:10" x14ac:dyDescent="0.3">
      <c r="A22" s="3">
        <f t="shared" ca="1" si="3"/>
        <v>46028</v>
      </c>
      <c r="B22" t="s">
        <v>27</v>
      </c>
      <c r="C22" t="str">
        <f>VLOOKUP(B22,alış!$A$2:$G$99,2,FALSE)</f>
        <v>Meyve</v>
      </c>
      <c r="D22" t="str">
        <f>VLOOKUP(B22,alış!$A$2:$G$99,3,FALSE)</f>
        <v>çilek</v>
      </c>
      <c r="E22" t="str">
        <f>VLOOKUP(B22,alış!$A$2:$G$99,4,FALSE)</f>
        <v>camarosa</v>
      </c>
      <c r="F22">
        <f>VLOOKUP(B22,alış!$A$2:$G$99,7,FALSE)</f>
        <v>20</v>
      </c>
      <c r="G22">
        <v>7</v>
      </c>
      <c r="H22">
        <f t="shared" si="0"/>
        <v>140</v>
      </c>
      <c r="I22">
        <f t="shared" ca="1" si="1"/>
        <v>1</v>
      </c>
      <c r="J22">
        <f t="shared" ca="1" si="2"/>
        <v>2026</v>
      </c>
    </row>
    <row r="23" spans="1:10" x14ac:dyDescent="0.3">
      <c r="A23" s="3">
        <f t="shared" ca="1" si="3"/>
        <v>46028</v>
      </c>
      <c r="B23" t="s">
        <v>28</v>
      </c>
      <c r="C23" t="str">
        <f>VLOOKUP(B23,alış!$A$2:$G$99,2,FALSE)</f>
        <v>Meyve</v>
      </c>
      <c r="D23" t="str">
        <f>VLOOKUP(B23,alış!$A$2:$G$99,3,FALSE)</f>
        <v>çilek</v>
      </c>
      <c r="E23" t="str">
        <f>VLOOKUP(B23,alış!$A$2:$G$99,4,FALSE)</f>
        <v>albion</v>
      </c>
      <c r="F23">
        <f>VLOOKUP(B23,alış!$A$2:$G$99,7,FALSE)</f>
        <v>24</v>
      </c>
      <c r="G23">
        <v>7</v>
      </c>
      <c r="H23">
        <f t="shared" si="0"/>
        <v>168</v>
      </c>
      <c r="I23">
        <f t="shared" ca="1" si="1"/>
        <v>1</v>
      </c>
      <c r="J23">
        <f t="shared" ca="1" si="2"/>
        <v>2026</v>
      </c>
    </row>
    <row r="24" spans="1:10" x14ac:dyDescent="0.3">
      <c r="A24" s="3">
        <f t="shared" ca="1" si="3"/>
        <v>46028</v>
      </c>
      <c r="B24" t="s">
        <v>29</v>
      </c>
      <c r="C24" t="str">
        <f>VLOOKUP(B24,alış!$A$2:$G$99,2,FALSE)</f>
        <v>Meyve</v>
      </c>
      <c r="D24" t="str">
        <f>VLOOKUP(B24,alış!$A$2:$G$99,3,FALSE)</f>
        <v>çilek</v>
      </c>
      <c r="E24" t="str">
        <f>VLOOKUP(B24,alış!$A$2:$G$99,4,FALSE)</f>
        <v>selva</v>
      </c>
      <c r="F24">
        <f>VLOOKUP(B24,alış!$A$2:$G$99,7,FALSE)</f>
        <v>22</v>
      </c>
      <c r="G24">
        <v>9</v>
      </c>
      <c r="H24">
        <f t="shared" si="0"/>
        <v>198</v>
      </c>
      <c r="I24">
        <f t="shared" ca="1" si="1"/>
        <v>1</v>
      </c>
      <c r="J24">
        <f t="shared" ca="1" si="2"/>
        <v>2026</v>
      </c>
    </row>
    <row r="25" spans="1:10" x14ac:dyDescent="0.3">
      <c r="A25" s="3">
        <f t="shared" ca="1" si="3"/>
        <v>46028</v>
      </c>
      <c r="B25" t="s">
        <v>30</v>
      </c>
      <c r="C25" t="str">
        <f>VLOOKUP(B25,alış!$A$2:$G$99,2,FALSE)</f>
        <v>Meyve</v>
      </c>
      <c r="D25" t="str">
        <f>VLOOKUP(B25,alış!$A$2:$G$99,3,FALSE)</f>
        <v>çilek</v>
      </c>
      <c r="E25" t="str">
        <f>VLOOKUP(B25,alış!$A$2:$G$99,4,FALSE)</f>
        <v>festival</v>
      </c>
      <c r="F25">
        <f>VLOOKUP(B25,alış!$A$2:$G$99,7,FALSE)</f>
        <v>17</v>
      </c>
      <c r="G25">
        <v>7</v>
      </c>
      <c r="H25">
        <f t="shared" si="0"/>
        <v>119</v>
      </c>
      <c r="I25">
        <f t="shared" ca="1" si="1"/>
        <v>1</v>
      </c>
      <c r="J25">
        <f t="shared" ca="1" si="2"/>
        <v>2026</v>
      </c>
    </row>
    <row r="26" spans="1:10" x14ac:dyDescent="0.3">
      <c r="A26" s="3">
        <f t="shared" ca="1" si="3"/>
        <v>46028</v>
      </c>
      <c r="B26" t="s">
        <v>31</v>
      </c>
      <c r="C26" t="str">
        <f>VLOOKUP(B26,alış!$A$2:$G$99,2,FALSE)</f>
        <v>Meyve</v>
      </c>
      <c r="D26" t="str">
        <f>VLOOKUP(B26,alış!$A$2:$G$99,3,FALSE)</f>
        <v>çilek</v>
      </c>
      <c r="E26" t="str">
        <f>VLOOKUP(B26,alış!$A$2:$G$99,4,FALSE)</f>
        <v>elsanta</v>
      </c>
      <c r="F26">
        <f>VLOOKUP(B26,alış!$A$2:$G$99,7,FALSE)</f>
        <v>23</v>
      </c>
      <c r="G26">
        <v>11</v>
      </c>
      <c r="H26">
        <f t="shared" si="0"/>
        <v>253</v>
      </c>
      <c r="I26">
        <f t="shared" ca="1" si="1"/>
        <v>1</v>
      </c>
      <c r="J26">
        <f t="shared" ca="1" si="2"/>
        <v>2026</v>
      </c>
    </row>
    <row r="27" spans="1:10" x14ac:dyDescent="0.3">
      <c r="A27" s="3">
        <f t="shared" ca="1" si="3"/>
        <v>46028</v>
      </c>
      <c r="B27" t="s">
        <v>32</v>
      </c>
      <c r="C27" t="str">
        <f>VLOOKUP(B27,alış!$A$2:$G$99,2,FALSE)</f>
        <v>Meyve</v>
      </c>
      <c r="D27" t="str">
        <f>VLOOKUP(B27,alış!$A$2:$G$99,3,FALSE)</f>
        <v>çilek</v>
      </c>
      <c r="E27" t="str">
        <f>VLOOKUP(B27,alış!$A$2:$G$99,4,FALSE)</f>
        <v>altın çilek</v>
      </c>
      <c r="F27">
        <f>VLOOKUP(B27,alış!$A$2:$G$99,7,FALSE)</f>
        <v>17</v>
      </c>
      <c r="G27">
        <v>8</v>
      </c>
      <c r="H27">
        <f t="shared" si="0"/>
        <v>136</v>
      </c>
      <c r="I27">
        <f t="shared" ca="1" si="1"/>
        <v>1</v>
      </c>
      <c r="J27">
        <f t="shared" ca="1" si="2"/>
        <v>2026</v>
      </c>
    </row>
    <row r="28" spans="1:10" x14ac:dyDescent="0.3">
      <c r="A28" s="3">
        <f t="shared" ca="1" si="3"/>
        <v>46028</v>
      </c>
      <c r="B28" t="s">
        <v>33</v>
      </c>
      <c r="C28" t="str">
        <f>VLOOKUP(B28,alış!$A$2:$G$99,2,FALSE)</f>
        <v>Meyve</v>
      </c>
      <c r="D28" t="str">
        <f>VLOOKUP(B28,alış!$A$2:$G$99,3,FALSE)</f>
        <v>üzüm</v>
      </c>
      <c r="E28" t="str">
        <f>VLOOKUP(B28,alış!$A$2:$G$99,4,FALSE)</f>
        <v>sultani</v>
      </c>
      <c r="F28">
        <f>VLOOKUP(B28,alış!$A$2:$G$99,7,FALSE)</f>
        <v>12</v>
      </c>
      <c r="G28">
        <v>7</v>
      </c>
      <c r="H28">
        <f t="shared" si="0"/>
        <v>84</v>
      </c>
      <c r="I28">
        <f t="shared" ca="1" si="1"/>
        <v>1</v>
      </c>
      <c r="J28">
        <f t="shared" ca="1" si="2"/>
        <v>2026</v>
      </c>
    </row>
    <row r="29" spans="1:10" x14ac:dyDescent="0.3">
      <c r="A29" s="3">
        <f t="shared" ca="1" si="3"/>
        <v>46028</v>
      </c>
      <c r="B29" t="s">
        <v>34</v>
      </c>
      <c r="C29" t="str">
        <f>VLOOKUP(B29,alış!$A$2:$G$99,2,FALSE)</f>
        <v>Meyve</v>
      </c>
      <c r="D29" t="str">
        <f>VLOOKUP(B29,alış!$A$2:$G$99,3,FALSE)</f>
        <v>üzüm</v>
      </c>
      <c r="E29" t="str">
        <f>VLOOKUP(B29,alış!$A$2:$G$99,4,FALSE)</f>
        <v>red globe</v>
      </c>
      <c r="F29">
        <f>VLOOKUP(B29,alış!$A$2:$G$99,7,FALSE)</f>
        <v>15</v>
      </c>
      <c r="G29">
        <v>8</v>
      </c>
      <c r="H29">
        <f t="shared" si="0"/>
        <v>120</v>
      </c>
      <c r="I29">
        <f t="shared" ca="1" si="1"/>
        <v>1</v>
      </c>
      <c r="J29">
        <f t="shared" ca="1" si="2"/>
        <v>2026</v>
      </c>
    </row>
    <row r="30" spans="1:10" x14ac:dyDescent="0.3">
      <c r="A30" s="3">
        <f t="shared" ca="1" si="3"/>
        <v>46028</v>
      </c>
      <c r="B30" t="s">
        <v>35</v>
      </c>
      <c r="C30" t="str">
        <f>VLOOKUP(B30,alış!$A$2:$G$99,2,FALSE)</f>
        <v>Meyve</v>
      </c>
      <c r="D30" t="str">
        <f>VLOOKUP(B30,alış!$A$2:$G$99,3,FALSE)</f>
        <v>üzüm</v>
      </c>
      <c r="E30" t="str">
        <f>VLOOKUP(B30,alış!$A$2:$G$99,4,FALSE)</f>
        <v>italia</v>
      </c>
      <c r="F30">
        <f>VLOOKUP(B30,alış!$A$2:$G$99,7,FALSE)</f>
        <v>13</v>
      </c>
      <c r="G30">
        <v>7</v>
      </c>
      <c r="H30">
        <f t="shared" si="0"/>
        <v>91</v>
      </c>
      <c r="I30">
        <f t="shared" ca="1" si="1"/>
        <v>1</v>
      </c>
      <c r="J30">
        <f t="shared" ca="1" si="2"/>
        <v>2026</v>
      </c>
    </row>
    <row r="31" spans="1:10" x14ac:dyDescent="0.3">
      <c r="A31" s="3">
        <f t="shared" ca="1" si="3"/>
        <v>46028</v>
      </c>
      <c r="B31" t="s">
        <v>36</v>
      </c>
      <c r="C31" t="str">
        <f>VLOOKUP(B31,alış!$A$2:$G$99,2,FALSE)</f>
        <v>Meyve</v>
      </c>
      <c r="D31" t="str">
        <f>VLOOKUP(B31,alış!$A$2:$G$99,3,FALSE)</f>
        <v>üzüm</v>
      </c>
      <c r="E31" t="str">
        <f>VLOOKUP(B31,alış!$A$2:$G$99,4,FALSE)</f>
        <v>antep siyahı</v>
      </c>
      <c r="F31">
        <f>VLOOKUP(B31,alış!$A$2:$G$99,7,FALSE)</f>
        <v>14</v>
      </c>
      <c r="G31">
        <v>9</v>
      </c>
      <c r="H31">
        <f t="shared" si="0"/>
        <v>126</v>
      </c>
      <c r="I31">
        <f t="shared" ca="1" si="1"/>
        <v>1</v>
      </c>
      <c r="J31">
        <f t="shared" ca="1" si="2"/>
        <v>2026</v>
      </c>
    </row>
    <row r="32" spans="1:10" x14ac:dyDescent="0.3">
      <c r="A32" s="3">
        <f t="shared" ca="1" si="3"/>
        <v>46028</v>
      </c>
      <c r="B32" t="s">
        <v>37</v>
      </c>
      <c r="C32" t="str">
        <f>VLOOKUP(B32,alış!$A$2:$G$99,2,FALSE)</f>
        <v>Meyve</v>
      </c>
      <c r="D32" t="str">
        <f>VLOOKUP(B32,alış!$A$2:$G$99,3,FALSE)</f>
        <v>üzüm</v>
      </c>
      <c r="E32" t="str">
        <f>VLOOKUP(B32,alış!$A$2:$G$99,4,FALSE)</f>
        <v>cardinal</v>
      </c>
      <c r="F32">
        <f>VLOOKUP(B32,alış!$A$2:$G$99,7,FALSE)</f>
        <v>14</v>
      </c>
      <c r="G32">
        <v>7</v>
      </c>
      <c r="H32">
        <f t="shared" si="0"/>
        <v>98</v>
      </c>
      <c r="I32">
        <f t="shared" ca="1" si="1"/>
        <v>1</v>
      </c>
      <c r="J32">
        <f t="shared" ca="1" si="2"/>
        <v>2026</v>
      </c>
    </row>
    <row r="33" spans="1:10" x14ac:dyDescent="0.3">
      <c r="A33" s="3">
        <f t="shared" ca="1" si="3"/>
        <v>46028</v>
      </c>
      <c r="B33" t="s">
        <v>38</v>
      </c>
      <c r="C33" t="str">
        <f>VLOOKUP(B33,alış!$A$2:$G$99,2,FALSE)</f>
        <v>Meyve</v>
      </c>
      <c r="D33" t="str">
        <f>VLOOKUP(B33,alış!$A$2:$G$99,3,FALSE)</f>
        <v>karpuz</v>
      </c>
      <c r="E33" t="str">
        <f>VLOOKUP(B33,alış!$A$2:$G$99,4,FALSE)</f>
        <v>crimson sweet</v>
      </c>
      <c r="F33">
        <f>VLOOKUP(B33,alış!$A$2:$G$99,7,FALSE)</f>
        <v>3</v>
      </c>
      <c r="G33">
        <v>11</v>
      </c>
      <c r="H33">
        <f t="shared" si="0"/>
        <v>33</v>
      </c>
      <c r="I33">
        <f t="shared" ca="1" si="1"/>
        <v>1</v>
      </c>
      <c r="J33">
        <f t="shared" ca="1" si="2"/>
        <v>2026</v>
      </c>
    </row>
    <row r="34" spans="1:10" x14ac:dyDescent="0.3">
      <c r="A34" s="3">
        <f t="shared" ca="1" si="3"/>
        <v>46028</v>
      </c>
      <c r="B34" t="s">
        <v>39</v>
      </c>
      <c r="C34" t="str">
        <f>VLOOKUP(B34,alış!$A$2:$G$99,2,FALSE)</f>
        <v>Meyve</v>
      </c>
      <c r="D34" t="str">
        <f>VLOOKUP(B34,alış!$A$2:$G$99,3,FALSE)</f>
        <v>karpuz</v>
      </c>
      <c r="E34" t="str">
        <f>VLOOKUP(B34,alış!$A$2:$G$99,4,FALSE)</f>
        <v>sugar baby</v>
      </c>
      <c r="F34">
        <f>VLOOKUP(B34,alış!$A$2:$G$99,7,FALSE)</f>
        <v>4</v>
      </c>
      <c r="G34">
        <v>7</v>
      </c>
      <c r="H34">
        <f t="shared" si="0"/>
        <v>28</v>
      </c>
      <c r="I34">
        <f t="shared" ca="1" si="1"/>
        <v>1</v>
      </c>
      <c r="J34">
        <f t="shared" ca="1" si="2"/>
        <v>2026</v>
      </c>
    </row>
    <row r="35" spans="1:10" x14ac:dyDescent="0.3">
      <c r="A35" s="3">
        <f t="shared" ca="1" si="3"/>
        <v>46028</v>
      </c>
      <c r="B35" t="s">
        <v>40</v>
      </c>
      <c r="C35" t="str">
        <f>VLOOKUP(B35,alış!$A$2:$G$99,2,FALSE)</f>
        <v>Meyve</v>
      </c>
      <c r="D35" t="str">
        <f>VLOOKUP(B35,alış!$A$2:$G$99,3,FALSE)</f>
        <v>karpuz</v>
      </c>
      <c r="E35" t="str">
        <f>VLOOKUP(B35,alış!$A$2:$G$99,4,FALSE)</f>
        <v>charleston gray</v>
      </c>
      <c r="F35">
        <f>VLOOKUP(B35,alış!$A$2:$G$99,7,FALSE)</f>
        <v>3</v>
      </c>
      <c r="G35" s="6">
        <v>3</v>
      </c>
      <c r="H35">
        <f t="shared" si="0"/>
        <v>9</v>
      </c>
      <c r="I35">
        <f t="shared" ca="1" si="1"/>
        <v>1</v>
      </c>
      <c r="J35">
        <f t="shared" ca="1" si="2"/>
        <v>2026</v>
      </c>
    </row>
    <row r="36" spans="1:10" x14ac:dyDescent="0.3">
      <c r="A36" s="3">
        <f t="shared" ca="1" si="3"/>
        <v>46028</v>
      </c>
      <c r="B36" t="s">
        <v>41</v>
      </c>
      <c r="C36" t="str">
        <f>VLOOKUP(B36,alış!$A$2:$G$99,2,FALSE)</f>
        <v>Meyve</v>
      </c>
      <c r="D36" t="str">
        <f>VLOOKUP(B36,alış!$A$2:$G$99,3,FALSE)</f>
        <v>karpuz</v>
      </c>
      <c r="E36" t="str">
        <f>VLOOKUP(B36,alış!$A$2:$G$99,4,FALSE)</f>
        <v>charlestor</v>
      </c>
      <c r="F36">
        <f>VLOOKUP(B36,alış!$A$2:$G$99,7,FALSE)</f>
        <v>3</v>
      </c>
      <c r="G36">
        <v>22</v>
      </c>
      <c r="H36">
        <f t="shared" si="0"/>
        <v>66</v>
      </c>
      <c r="I36">
        <f t="shared" ca="1" si="1"/>
        <v>1</v>
      </c>
      <c r="J36">
        <f t="shared" ca="1" si="2"/>
        <v>2026</v>
      </c>
    </row>
    <row r="37" spans="1:10" x14ac:dyDescent="0.3">
      <c r="A37" s="3">
        <f t="shared" ca="1" si="3"/>
        <v>46028</v>
      </c>
      <c r="B37" t="s">
        <v>83</v>
      </c>
      <c r="C37" t="str">
        <f>VLOOKUP(B37,alış!$A$2:$G$99,2,FALSE)</f>
        <v>Meyve</v>
      </c>
      <c r="D37" t="str">
        <f>VLOOKUP(B37,alış!$A$2:$G$99,3,FALSE)</f>
        <v>karpuz</v>
      </c>
      <c r="E37" t="str">
        <f>VLOOKUP(B37,alış!$A$2:$G$99,4,FALSE)</f>
        <v>jubilee</v>
      </c>
      <c r="F37">
        <f>VLOOKUP(B37,alış!$A$2:$G$99,7,FALSE)</f>
        <v>3</v>
      </c>
      <c r="G37">
        <v>14</v>
      </c>
      <c r="H37">
        <f t="shared" si="0"/>
        <v>42</v>
      </c>
      <c r="I37">
        <f t="shared" ca="1" si="1"/>
        <v>1</v>
      </c>
      <c r="J37">
        <f t="shared" ca="1" si="2"/>
        <v>2026</v>
      </c>
    </row>
    <row r="38" spans="1:10" x14ac:dyDescent="0.3">
      <c r="A38" s="3">
        <f t="shared" ca="1" si="3"/>
        <v>46028</v>
      </c>
      <c r="B38" t="s">
        <v>84</v>
      </c>
      <c r="C38" t="str">
        <f>VLOOKUP(B38,alış!$A$2:$G$99,2,FALSE)</f>
        <v>Meyve</v>
      </c>
      <c r="D38" t="str">
        <f>VLOOKUP(B38,alış!$A$2:$G$99,3,FALSE)</f>
        <v>kavun</v>
      </c>
      <c r="E38" t="str">
        <f>VLOOKUP(B38,alış!$A$2:$G$99,4,FALSE)</f>
        <v>kırkağaç</v>
      </c>
      <c r="F38">
        <f>VLOOKUP(B38,alış!$A$2:$G$99,7,FALSE)</f>
        <v>4</v>
      </c>
      <c r="G38">
        <v>45</v>
      </c>
      <c r="H38">
        <f t="shared" si="0"/>
        <v>180</v>
      </c>
      <c r="I38">
        <f t="shared" ca="1" si="1"/>
        <v>1</v>
      </c>
      <c r="J38">
        <f t="shared" ca="1" si="2"/>
        <v>2026</v>
      </c>
    </row>
    <row r="39" spans="1:10" x14ac:dyDescent="0.3">
      <c r="A39" s="3">
        <f t="shared" ca="1" si="3"/>
        <v>46028</v>
      </c>
      <c r="B39" t="s">
        <v>85</v>
      </c>
      <c r="C39" t="str">
        <f>VLOOKUP(B39,alış!$A$2:$G$99,2,FALSE)</f>
        <v>Meyve</v>
      </c>
      <c r="D39" t="str">
        <f>VLOOKUP(B39,alış!$A$2:$G$99,3,FALSE)</f>
        <v>kavun</v>
      </c>
      <c r="E39" t="str">
        <f>VLOOKUP(B39,alış!$A$2:$G$99,4,FALSE)</f>
        <v>kavşak</v>
      </c>
      <c r="F39">
        <f>VLOOKUP(B39,alış!$A$2:$G$99,7,FALSE)</f>
        <v>3</v>
      </c>
      <c r="G39">
        <v>14</v>
      </c>
      <c r="H39">
        <f t="shared" si="0"/>
        <v>42</v>
      </c>
      <c r="I39">
        <f t="shared" ca="1" si="1"/>
        <v>1</v>
      </c>
      <c r="J39">
        <f t="shared" ca="1" si="2"/>
        <v>2026</v>
      </c>
    </row>
    <row r="40" spans="1:10" x14ac:dyDescent="0.3">
      <c r="A40" s="3">
        <f t="shared" ca="1" si="3"/>
        <v>46028</v>
      </c>
      <c r="B40" t="s">
        <v>86</v>
      </c>
      <c r="C40" t="str">
        <f>VLOOKUP(B40,alış!$A$2:$G$99,2,FALSE)</f>
        <v>Meyve</v>
      </c>
      <c r="D40" t="str">
        <f>VLOOKUP(B40,alış!$A$2:$G$99,3,FALSE)</f>
        <v>kavun</v>
      </c>
      <c r="E40" t="str">
        <f>VLOOKUP(B40,alış!$A$2:$G$99,4,FALSE)</f>
        <v>retine</v>
      </c>
      <c r="F40">
        <f>VLOOKUP(B40,alış!$A$2:$G$99,7,FALSE)</f>
        <v>4</v>
      </c>
      <c r="G40">
        <v>17</v>
      </c>
      <c r="H40">
        <f t="shared" si="0"/>
        <v>68</v>
      </c>
      <c r="I40">
        <f t="shared" ca="1" si="1"/>
        <v>1</v>
      </c>
      <c r="J40">
        <f t="shared" ca="1" si="2"/>
        <v>2026</v>
      </c>
    </row>
    <row r="41" spans="1:10" x14ac:dyDescent="0.3">
      <c r="A41" s="3">
        <f t="shared" ca="1" si="3"/>
        <v>46028</v>
      </c>
      <c r="B41" t="s">
        <v>87</v>
      </c>
      <c r="C41" t="str">
        <f>VLOOKUP(B41,alış!$A$2:$G$99,2,FALSE)</f>
        <v>Meyve</v>
      </c>
      <c r="D41" t="str">
        <f>VLOOKUP(B41,alış!$A$2:$G$99,3,FALSE)</f>
        <v>kavun</v>
      </c>
      <c r="E41" t="str">
        <f>VLOOKUP(B41,alış!$A$2:$G$99,4,FALSE)</f>
        <v>charentais</v>
      </c>
      <c r="F41">
        <f>VLOOKUP(B41,alış!$A$2:$G$99,7,FALSE)</f>
        <v>5</v>
      </c>
      <c r="G41">
        <v>14</v>
      </c>
      <c r="H41">
        <f t="shared" si="0"/>
        <v>70</v>
      </c>
      <c r="I41">
        <f t="shared" ca="1" si="1"/>
        <v>1</v>
      </c>
      <c r="J41">
        <f t="shared" ca="1" si="2"/>
        <v>2026</v>
      </c>
    </row>
    <row r="42" spans="1:10" x14ac:dyDescent="0.3">
      <c r="A42" s="3">
        <f t="shared" ca="1" si="3"/>
        <v>46028</v>
      </c>
      <c r="B42" t="s">
        <v>88</v>
      </c>
      <c r="C42" t="str">
        <f>VLOOKUP(B42,alış!$A$2:$G$99,2,FALSE)</f>
        <v>Meyve</v>
      </c>
      <c r="D42" t="str">
        <f>VLOOKUP(B42,alış!$A$2:$G$99,3,FALSE)</f>
        <v>kavun</v>
      </c>
      <c r="E42" t="str">
        <f>VLOOKUP(B42,alış!$A$2:$G$99,4,FALSE)</f>
        <v>galia</v>
      </c>
      <c r="F42">
        <f>VLOOKUP(B42,alış!$A$2:$G$99,7,FALSE)</f>
        <v>5</v>
      </c>
      <c r="G42">
        <v>13</v>
      </c>
      <c r="H42">
        <f t="shared" si="0"/>
        <v>65</v>
      </c>
      <c r="I42">
        <f t="shared" ca="1" si="1"/>
        <v>1</v>
      </c>
      <c r="J42">
        <f t="shared" ca="1" si="2"/>
        <v>2026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1" max="1" width="18.33203125" customWidth="1"/>
    <col min="2" max="2" width="9.21875" customWidth="1"/>
  </cols>
  <sheetData>
    <row r="1" spans="1:2" x14ac:dyDescent="0.3">
      <c r="A1">
        <v>2025</v>
      </c>
    </row>
    <row r="2" spans="1:2" x14ac:dyDescent="0.3">
      <c r="A2" t="s">
        <v>133</v>
      </c>
      <c r="B2">
        <f ca="1">SUM('Aylık Rapor'!C:C)</f>
        <v>3565</v>
      </c>
    </row>
    <row r="3" spans="1:2" x14ac:dyDescent="0.3">
      <c r="A3" t="s">
        <v>134</v>
      </c>
      <c r="B3">
        <f>SUM(giderler!C:C)</f>
        <v>94300</v>
      </c>
    </row>
    <row r="4" spans="1:2" x14ac:dyDescent="0.3">
      <c r="A4" t="s">
        <v>135</v>
      </c>
      <c r="B4">
        <f ca="1">B2-B3</f>
        <v>-90735</v>
      </c>
    </row>
  </sheetData>
  <conditionalFormatting sqref="B4">
    <cfRule type="cellIs" dxfId="0" priority="1" operator="greaterThan">
      <formula>"&gt;0"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"/>
  <sheetViews>
    <sheetView workbookViewId="0">
      <selection activeCell="C6" sqref="C6"/>
    </sheetView>
  </sheetViews>
  <sheetFormatPr defaultRowHeight="14.4" x14ac:dyDescent="0.3"/>
  <cols>
    <col min="2" max="2" width="10.88671875" customWidth="1"/>
    <col min="3" max="3" width="12.5546875" customWidth="1"/>
    <col min="10" max="10" width="9.109375" customWidth="1"/>
  </cols>
  <sheetData>
    <row r="1" spans="2:3" x14ac:dyDescent="0.3">
      <c r="B1" t="s">
        <v>123</v>
      </c>
      <c r="C1">
        <v>2025</v>
      </c>
    </row>
    <row r="2" spans="2:3" x14ac:dyDescent="0.3">
      <c r="B2" t="s">
        <v>124</v>
      </c>
      <c r="C2">
        <v>12</v>
      </c>
    </row>
    <row r="4" spans="2:3" x14ac:dyDescent="0.3">
      <c r="B4" t="s">
        <v>125</v>
      </c>
      <c r="C4">
        <f ca="1">SUMIF(satış!I:I,C2,satış!H:H)</f>
        <v>764</v>
      </c>
    </row>
    <row r="5" spans="2:3" x14ac:dyDescent="0.3">
      <c r="B5" t="s">
        <v>126</v>
      </c>
      <c r="C5">
        <f>SUMIF(giderler!E:E,C2,giderler!C:C)</f>
        <v>2500</v>
      </c>
    </row>
    <row r="6" spans="2:3" x14ac:dyDescent="0.3">
      <c r="B6" t="s">
        <v>127</v>
      </c>
      <c r="C6" s="6">
        <f ca="1">C4-C5</f>
        <v>-1736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7" sqref="J7"/>
    </sheetView>
  </sheetViews>
  <sheetFormatPr defaultRowHeight="14.4" x14ac:dyDescent="0.3"/>
  <cols>
    <col min="1" max="1" width="10.44140625" style="4" customWidth="1"/>
    <col min="2" max="2" width="20.33203125" customWidth="1"/>
    <col min="4" max="4" width="10.44140625" customWidth="1"/>
  </cols>
  <sheetData>
    <row r="1" spans="1:6" x14ac:dyDescent="0.3">
      <c r="A1" s="4" t="s">
        <v>99</v>
      </c>
      <c r="B1" t="s">
        <v>106</v>
      </c>
      <c r="C1" t="s">
        <v>105</v>
      </c>
      <c r="D1" t="s">
        <v>104</v>
      </c>
      <c r="E1" t="s">
        <v>121</v>
      </c>
      <c r="F1" t="s">
        <v>122</v>
      </c>
    </row>
    <row r="2" spans="1:6" x14ac:dyDescent="0.3">
      <c r="A2" s="5">
        <v>46016</v>
      </c>
      <c r="B2" t="s">
        <v>107</v>
      </c>
      <c r="C2">
        <v>2500</v>
      </c>
      <c r="D2" t="s">
        <v>120</v>
      </c>
      <c r="E2">
        <f>MONTH(A2)</f>
        <v>12</v>
      </c>
      <c r="F2">
        <f>YEAR(A2)</f>
        <v>2025</v>
      </c>
    </row>
    <row r="3" spans="1:6" x14ac:dyDescent="0.3">
      <c r="A3" s="5">
        <v>45669</v>
      </c>
      <c r="B3" t="s">
        <v>108</v>
      </c>
      <c r="C3">
        <v>3000</v>
      </c>
      <c r="D3" t="s">
        <v>120</v>
      </c>
      <c r="E3">
        <f t="shared" ref="E3:E10" si="0">MONTH(A3)</f>
        <v>1</v>
      </c>
      <c r="F3">
        <f t="shared" ref="F3:F11" si="1">YEAR(A3)</f>
        <v>2025</v>
      </c>
    </row>
    <row r="4" spans="1:6" x14ac:dyDescent="0.3">
      <c r="A4" s="5">
        <v>45669</v>
      </c>
      <c r="B4" t="s">
        <v>109</v>
      </c>
      <c r="C4">
        <v>1000</v>
      </c>
      <c r="D4" t="s">
        <v>120</v>
      </c>
      <c r="E4">
        <f t="shared" si="0"/>
        <v>1</v>
      </c>
      <c r="F4">
        <f t="shared" si="1"/>
        <v>2025</v>
      </c>
    </row>
    <row r="5" spans="1:6" x14ac:dyDescent="0.3">
      <c r="A5" s="5">
        <v>45669</v>
      </c>
      <c r="B5" t="s">
        <v>110</v>
      </c>
      <c r="C5">
        <v>12000</v>
      </c>
      <c r="D5" t="s">
        <v>118</v>
      </c>
      <c r="E5">
        <f t="shared" si="0"/>
        <v>1</v>
      </c>
      <c r="F5">
        <f t="shared" si="1"/>
        <v>2025</v>
      </c>
    </row>
    <row r="6" spans="1:6" x14ac:dyDescent="0.3">
      <c r="A6" s="5">
        <v>45669</v>
      </c>
      <c r="B6" t="s">
        <v>111</v>
      </c>
      <c r="C6">
        <v>600</v>
      </c>
      <c r="D6" t="s">
        <v>118</v>
      </c>
      <c r="E6">
        <f t="shared" si="0"/>
        <v>1</v>
      </c>
      <c r="F6">
        <f t="shared" si="1"/>
        <v>2025</v>
      </c>
    </row>
    <row r="7" spans="1:6" x14ac:dyDescent="0.3">
      <c r="A7" s="5">
        <v>45682</v>
      </c>
      <c r="B7" t="s">
        <v>112</v>
      </c>
      <c r="C7">
        <f>SUMPRODUCT(alış!F:F,alış!G:G)</f>
        <v>12710</v>
      </c>
      <c r="D7" t="s">
        <v>119</v>
      </c>
      <c r="E7">
        <f t="shared" si="0"/>
        <v>1</v>
      </c>
      <c r="F7">
        <f t="shared" si="1"/>
        <v>2025</v>
      </c>
    </row>
    <row r="8" spans="1:6" x14ac:dyDescent="0.3">
      <c r="A8" s="5">
        <v>45662</v>
      </c>
      <c r="B8" t="s">
        <v>114</v>
      </c>
      <c r="C8">
        <v>3640</v>
      </c>
      <c r="D8" t="s">
        <v>118</v>
      </c>
      <c r="E8">
        <f t="shared" si="0"/>
        <v>1</v>
      </c>
      <c r="F8">
        <f t="shared" si="1"/>
        <v>2025</v>
      </c>
    </row>
    <row r="9" spans="1:6" x14ac:dyDescent="0.3">
      <c r="A9" s="5">
        <v>45669</v>
      </c>
      <c r="B9" t="s">
        <v>113</v>
      </c>
      <c r="C9">
        <v>2850</v>
      </c>
      <c r="D9" t="s">
        <v>118</v>
      </c>
      <c r="E9">
        <f t="shared" si="0"/>
        <v>1</v>
      </c>
      <c r="F9">
        <f t="shared" si="1"/>
        <v>2025</v>
      </c>
    </row>
    <row r="10" spans="1:6" x14ac:dyDescent="0.3">
      <c r="A10" s="5">
        <v>45662</v>
      </c>
      <c r="B10" t="s">
        <v>115</v>
      </c>
      <c r="C10">
        <v>55000</v>
      </c>
      <c r="D10" t="s">
        <v>118</v>
      </c>
      <c r="E10">
        <f t="shared" si="0"/>
        <v>1</v>
      </c>
      <c r="F10">
        <f t="shared" si="1"/>
        <v>2025</v>
      </c>
    </row>
    <row r="11" spans="1:6" x14ac:dyDescent="0.3">
      <c r="A11" s="5">
        <v>45669</v>
      </c>
      <c r="B11" t="s">
        <v>116</v>
      </c>
      <c r="C11">
        <v>1000</v>
      </c>
      <c r="D11" t="s">
        <v>120</v>
      </c>
      <c r="E11">
        <f t="shared" ref="E11" si="2">MONTH(A11)</f>
        <v>1</v>
      </c>
      <c r="F11">
        <f t="shared" si="1"/>
        <v>2025</v>
      </c>
    </row>
    <row r="12" spans="1:6" x14ac:dyDescent="0.3">
      <c r="A12"/>
    </row>
    <row r="13" spans="1:6" x14ac:dyDescent="0.3">
      <c r="A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/>
  </sheetViews>
  <sheetFormatPr defaultRowHeight="14.4" x14ac:dyDescent="0.3"/>
  <cols>
    <col min="2" max="2" width="10.33203125" customWidth="1"/>
    <col min="3" max="3" width="10.5546875" customWidth="1"/>
    <col min="4" max="4" width="14.33203125" customWidth="1"/>
    <col min="6" max="6" width="13.44140625" customWidth="1"/>
    <col min="7" max="7" width="11" customWidth="1"/>
    <col min="8" max="8" width="11.21875" customWidth="1"/>
    <col min="9" max="9" width="12.33203125" customWidth="1"/>
  </cols>
  <sheetData>
    <row r="1" spans="1:9" ht="28.8" x14ac:dyDescent="0.3">
      <c r="A1" s="1" t="s">
        <v>0</v>
      </c>
      <c r="B1" s="1" t="s">
        <v>1</v>
      </c>
      <c r="C1" s="2" t="s">
        <v>3</v>
      </c>
      <c r="D1" s="2" t="s">
        <v>2</v>
      </c>
      <c r="E1" s="2" t="s">
        <v>6</v>
      </c>
      <c r="F1" s="2" t="s">
        <v>117</v>
      </c>
      <c r="G1" s="2" t="s">
        <v>4</v>
      </c>
      <c r="H1" s="2" t="s">
        <v>5</v>
      </c>
      <c r="I1" s="2" t="s">
        <v>128</v>
      </c>
    </row>
    <row r="2" spans="1:9" x14ac:dyDescent="0.3">
      <c r="A2" t="s">
        <v>7</v>
      </c>
      <c r="B2" t="s">
        <v>42</v>
      </c>
      <c r="C2" t="s">
        <v>43</v>
      </c>
      <c r="D2" t="s">
        <v>44</v>
      </c>
      <c r="E2" t="s">
        <v>49</v>
      </c>
      <c r="F2">
        <v>30</v>
      </c>
      <c r="G2">
        <v>10</v>
      </c>
      <c r="H2">
        <v>15</v>
      </c>
      <c r="I2">
        <v>8</v>
      </c>
    </row>
    <row r="3" spans="1:9" x14ac:dyDescent="0.3">
      <c r="A3" t="s">
        <v>8</v>
      </c>
      <c r="B3" t="s">
        <v>42</v>
      </c>
      <c r="C3" t="s">
        <v>43</v>
      </c>
      <c r="D3" t="s">
        <v>45</v>
      </c>
      <c r="E3" t="s">
        <v>49</v>
      </c>
      <c r="F3">
        <v>30</v>
      </c>
      <c r="G3">
        <v>9</v>
      </c>
      <c r="H3">
        <v>14</v>
      </c>
      <c r="I3">
        <v>12</v>
      </c>
    </row>
    <row r="4" spans="1:9" x14ac:dyDescent="0.3">
      <c r="A4" t="s">
        <v>9</v>
      </c>
      <c r="B4" t="s">
        <v>42</v>
      </c>
      <c r="C4" t="s">
        <v>43</v>
      </c>
      <c r="D4" t="s">
        <v>46</v>
      </c>
      <c r="E4" t="s">
        <v>49</v>
      </c>
      <c r="F4">
        <v>30</v>
      </c>
      <c r="G4">
        <v>8</v>
      </c>
      <c r="H4">
        <v>13</v>
      </c>
      <c r="I4" s="6">
        <v>4</v>
      </c>
    </row>
    <row r="5" spans="1:9" x14ac:dyDescent="0.3">
      <c r="A5" t="s">
        <v>10</v>
      </c>
      <c r="B5" t="s">
        <v>42</v>
      </c>
      <c r="C5" t="s">
        <v>43</v>
      </c>
      <c r="D5" t="s">
        <v>47</v>
      </c>
      <c r="E5" t="s">
        <v>49</v>
      </c>
      <c r="F5">
        <v>30</v>
      </c>
      <c r="G5">
        <v>10</v>
      </c>
      <c r="H5">
        <v>18</v>
      </c>
      <c r="I5">
        <v>5</v>
      </c>
    </row>
    <row r="6" spans="1:9" x14ac:dyDescent="0.3">
      <c r="A6" t="s">
        <v>11</v>
      </c>
      <c r="B6" t="s">
        <v>42</v>
      </c>
      <c r="C6" t="s">
        <v>43</v>
      </c>
      <c r="D6" t="s">
        <v>48</v>
      </c>
      <c r="E6" t="s">
        <v>49</v>
      </c>
      <c r="F6">
        <v>30</v>
      </c>
      <c r="G6">
        <v>11</v>
      </c>
      <c r="H6">
        <v>16</v>
      </c>
      <c r="I6">
        <v>11</v>
      </c>
    </row>
    <row r="7" spans="1:9" x14ac:dyDescent="0.3">
      <c r="A7" t="s">
        <v>12</v>
      </c>
      <c r="B7" t="s">
        <v>42</v>
      </c>
      <c r="C7" t="s">
        <v>50</v>
      </c>
      <c r="D7" t="s">
        <v>51</v>
      </c>
      <c r="E7" t="s">
        <v>49</v>
      </c>
      <c r="F7">
        <v>30</v>
      </c>
      <c r="G7">
        <v>12</v>
      </c>
      <c r="H7">
        <v>18</v>
      </c>
      <c r="I7">
        <v>5</v>
      </c>
    </row>
    <row r="8" spans="1:9" x14ac:dyDescent="0.3">
      <c r="A8" t="s">
        <v>13</v>
      </c>
      <c r="B8" t="s">
        <v>42</v>
      </c>
      <c r="C8" t="s">
        <v>50</v>
      </c>
      <c r="D8" t="s">
        <v>52</v>
      </c>
      <c r="E8" t="s">
        <v>49</v>
      </c>
      <c r="F8">
        <v>30</v>
      </c>
      <c r="G8">
        <v>13</v>
      </c>
      <c r="H8">
        <v>19</v>
      </c>
      <c r="I8">
        <v>5</v>
      </c>
    </row>
    <row r="9" spans="1:9" x14ac:dyDescent="0.3">
      <c r="A9" t="s">
        <v>14</v>
      </c>
      <c r="B9" t="s">
        <v>42</v>
      </c>
      <c r="C9" t="s">
        <v>50</v>
      </c>
      <c r="D9" t="s">
        <v>53</v>
      </c>
      <c r="E9" t="s">
        <v>49</v>
      </c>
      <c r="F9">
        <v>30</v>
      </c>
      <c r="G9">
        <v>10</v>
      </c>
      <c r="H9">
        <v>20</v>
      </c>
      <c r="I9">
        <v>5</v>
      </c>
    </row>
    <row r="10" spans="1:9" x14ac:dyDescent="0.3">
      <c r="A10" t="s">
        <v>15</v>
      </c>
      <c r="B10" t="s">
        <v>42</v>
      </c>
      <c r="C10" t="s">
        <v>54</v>
      </c>
      <c r="D10" t="s">
        <v>55</v>
      </c>
      <c r="E10" t="s">
        <v>49</v>
      </c>
      <c r="F10">
        <v>30</v>
      </c>
      <c r="G10">
        <v>8</v>
      </c>
      <c r="H10">
        <v>13</v>
      </c>
      <c r="I10">
        <v>8</v>
      </c>
    </row>
    <row r="11" spans="1:9" x14ac:dyDescent="0.3">
      <c r="A11" t="s">
        <v>16</v>
      </c>
      <c r="B11" t="s">
        <v>42</v>
      </c>
      <c r="C11" t="s">
        <v>54</v>
      </c>
      <c r="D11" t="s">
        <v>56</v>
      </c>
      <c r="E11" t="s">
        <v>49</v>
      </c>
      <c r="F11">
        <v>30</v>
      </c>
      <c r="G11">
        <v>7</v>
      </c>
      <c r="H11">
        <v>25</v>
      </c>
      <c r="I11">
        <v>5</v>
      </c>
    </row>
    <row r="12" spans="1:9" x14ac:dyDescent="0.3">
      <c r="A12" t="s">
        <v>17</v>
      </c>
      <c r="B12" t="s">
        <v>42</v>
      </c>
      <c r="C12" t="s">
        <v>54</v>
      </c>
      <c r="D12" t="s">
        <v>57</v>
      </c>
      <c r="E12" t="s">
        <v>49</v>
      </c>
      <c r="F12">
        <v>30</v>
      </c>
      <c r="G12">
        <v>9</v>
      </c>
      <c r="H12">
        <v>14</v>
      </c>
      <c r="I12">
        <v>11</v>
      </c>
    </row>
    <row r="13" spans="1:9" x14ac:dyDescent="0.3">
      <c r="A13" t="s">
        <v>18</v>
      </c>
      <c r="B13" t="s">
        <v>42</v>
      </c>
      <c r="C13" t="s">
        <v>54</v>
      </c>
      <c r="D13" t="s">
        <v>58</v>
      </c>
      <c r="E13" t="s">
        <v>49</v>
      </c>
      <c r="F13">
        <v>30</v>
      </c>
      <c r="G13">
        <v>10</v>
      </c>
      <c r="H13">
        <v>15</v>
      </c>
      <c r="I13">
        <v>6</v>
      </c>
    </row>
    <row r="14" spans="1:9" x14ac:dyDescent="0.3">
      <c r="A14" t="s">
        <v>19</v>
      </c>
      <c r="B14" t="s">
        <v>42</v>
      </c>
      <c r="C14" t="s">
        <v>54</v>
      </c>
      <c r="D14" t="s">
        <v>59</v>
      </c>
      <c r="E14" t="s">
        <v>49</v>
      </c>
      <c r="F14">
        <v>30</v>
      </c>
      <c r="G14">
        <v>8</v>
      </c>
      <c r="H14">
        <v>13</v>
      </c>
      <c r="I14">
        <v>5</v>
      </c>
    </row>
    <row r="15" spans="1:9" x14ac:dyDescent="0.3">
      <c r="A15" t="s">
        <v>20</v>
      </c>
      <c r="B15" t="s">
        <v>42</v>
      </c>
      <c r="C15" t="s">
        <v>60</v>
      </c>
      <c r="D15" t="s">
        <v>61</v>
      </c>
      <c r="E15" t="s">
        <v>49</v>
      </c>
      <c r="F15">
        <v>30</v>
      </c>
      <c r="G15">
        <v>7</v>
      </c>
      <c r="H15">
        <v>12</v>
      </c>
      <c r="I15">
        <v>5</v>
      </c>
    </row>
    <row r="16" spans="1:9" x14ac:dyDescent="0.3">
      <c r="A16" t="s">
        <v>21</v>
      </c>
      <c r="B16" t="s">
        <v>42</v>
      </c>
      <c r="C16" t="s">
        <v>60</v>
      </c>
      <c r="D16" t="s">
        <v>62</v>
      </c>
      <c r="E16" t="s">
        <v>49</v>
      </c>
      <c r="F16">
        <v>30</v>
      </c>
      <c r="G16">
        <v>8</v>
      </c>
      <c r="H16">
        <v>13</v>
      </c>
      <c r="I16">
        <v>5</v>
      </c>
    </row>
    <row r="17" spans="1:9" x14ac:dyDescent="0.3">
      <c r="A17" t="s">
        <v>22</v>
      </c>
      <c r="B17" t="s">
        <v>42</v>
      </c>
      <c r="C17" t="s">
        <v>60</v>
      </c>
      <c r="D17" t="s">
        <v>63</v>
      </c>
      <c r="E17" t="s">
        <v>49</v>
      </c>
      <c r="F17">
        <v>30</v>
      </c>
      <c r="G17">
        <v>8</v>
      </c>
      <c r="H17">
        <v>13</v>
      </c>
      <c r="I17">
        <v>9</v>
      </c>
    </row>
    <row r="18" spans="1:9" x14ac:dyDescent="0.3">
      <c r="A18" t="s">
        <v>23</v>
      </c>
      <c r="B18" t="s">
        <v>42</v>
      </c>
      <c r="C18" t="s">
        <v>60</v>
      </c>
      <c r="D18" t="s">
        <v>64</v>
      </c>
      <c r="E18" t="s">
        <v>49</v>
      </c>
      <c r="F18">
        <v>30</v>
      </c>
      <c r="G18">
        <v>9</v>
      </c>
      <c r="H18">
        <v>14</v>
      </c>
      <c r="I18">
        <v>5</v>
      </c>
    </row>
    <row r="19" spans="1:9" x14ac:dyDescent="0.3">
      <c r="A19" t="s">
        <v>24</v>
      </c>
      <c r="B19" t="s">
        <v>42</v>
      </c>
      <c r="C19" t="s">
        <v>60</v>
      </c>
      <c r="D19" t="s">
        <v>65</v>
      </c>
      <c r="E19" t="s">
        <v>49</v>
      </c>
      <c r="F19">
        <v>30</v>
      </c>
      <c r="G19">
        <v>9</v>
      </c>
      <c r="H19">
        <v>28</v>
      </c>
      <c r="I19">
        <v>5</v>
      </c>
    </row>
    <row r="20" spans="1:9" x14ac:dyDescent="0.3">
      <c r="A20" t="s">
        <v>25</v>
      </c>
      <c r="B20" t="s">
        <v>42</v>
      </c>
      <c r="C20" t="s">
        <v>66</v>
      </c>
      <c r="D20" t="s">
        <v>67</v>
      </c>
      <c r="E20" t="s">
        <v>49</v>
      </c>
      <c r="F20">
        <v>30</v>
      </c>
      <c r="G20">
        <v>12</v>
      </c>
      <c r="H20">
        <v>18</v>
      </c>
      <c r="I20">
        <v>7</v>
      </c>
    </row>
    <row r="21" spans="1:9" x14ac:dyDescent="0.3">
      <c r="A21" t="s">
        <v>26</v>
      </c>
      <c r="B21" t="s">
        <v>42</v>
      </c>
      <c r="C21" t="s">
        <v>66</v>
      </c>
      <c r="D21" t="s">
        <v>68</v>
      </c>
      <c r="E21" t="s">
        <v>49</v>
      </c>
      <c r="F21">
        <v>30</v>
      </c>
      <c r="G21">
        <v>11</v>
      </c>
      <c r="H21">
        <v>17</v>
      </c>
      <c r="I21">
        <v>13</v>
      </c>
    </row>
    <row r="22" spans="1:9" x14ac:dyDescent="0.3">
      <c r="A22" t="s">
        <v>27</v>
      </c>
      <c r="B22" t="s">
        <v>42</v>
      </c>
      <c r="C22" t="s">
        <v>69</v>
      </c>
      <c r="D22" t="s">
        <v>70</v>
      </c>
      <c r="E22" t="s">
        <v>49</v>
      </c>
      <c r="F22">
        <v>30</v>
      </c>
      <c r="G22">
        <v>20</v>
      </c>
      <c r="H22">
        <v>40</v>
      </c>
      <c r="I22">
        <v>7</v>
      </c>
    </row>
    <row r="23" spans="1:9" x14ac:dyDescent="0.3">
      <c r="A23" t="s">
        <v>28</v>
      </c>
      <c r="B23" t="s">
        <v>42</v>
      </c>
      <c r="C23" t="s">
        <v>69</v>
      </c>
      <c r="D23" t="s">
        <v>71</v>
      </c>
      <c r="E23" t="s">
        <v>49</v>
      </c>
      <c r="F23">
        <v>30</v>
      </c>
      <c r="G23">
        <v>24</v>
      </c>
      <c r="H23">
        <v>38</v>
      </c>
      <c r="I23">
        <v>7</v>
      </c>
    </row>
    <row r="24" spans="1:9" x14ac:dyDescent="0.3">
      <c r="A24" t="s">
        <v>29</v>
      </c>
      <c r="B24" t="s">
        <v>42</v>
      </c>
      <c r="C24" t="s">
        <v>69</v>
      </c>
      <c r="D24" t="s">
        <v>72</v>
      </c>
      <c r="E24" t="s">
        <v>49</v>
      </c>
      <c r="F24">
        <v>30</v>
      </c>
      <c r="G24">
        <v>22</v>
      </c>
      <c r="H24">
        <v>35</v>
      </c>
      <c r="I24">
        <v>9</v>
      </c>
    </row>
    <row r="25" spans="1:9" x14ac:dyDescent="0.3">
      <c r="A25" t="s">
        <v>30</v>
      </c>
      <c r="B25" t="s">
        <v>42</v>
      </c>
      <c r="C25" t="s">
        <v>69</v>
      </c>
      <c r="D25" t="s">
        <v>73</v>
      </c>
      <c r="E25" t="s">
        <v>49</v>
      </c>
      <c r="F25">
        <v>30</v>
      </c>
      <c r="G25">
        <v>17</v>
      </c>
      <c r="H25">
        <v>42</v>
      </c>
      <c r="I25">
        <v>7</v>
      </c>
    </row>
    <row r="26" spans="1:9" x14ac:dyDescent="0.3">
      <c r="A26" t="s">
        <v>31</v>
      </c>
      <c r="B26" t="s">
        <v>42</v>
      </c>
      <c r="C26" t="s">
        <v>69</v>
      </c>
      <c r="D26" t="s">
        <v>74</v>
      </c>
      <c r="E26" t="s">
        <v>49</v>
      </c>
      <c r="F26">
        <v>30</v>
      </c>
      <c r="G26">
        <v>23</v>
      </c>
      <c r="H26">
        <v>37</v>
      </c>
      <c r="I26">
        <v>11</v>
      </c>
    </row>
    <row r="27" spans="1:9" x14ac:dyDescent="0.3">
      <c r="A27" t="s">
        <v>32</v>
      </c>
      <c r="B27" t="s">
        <v>42</v>
      </c>
      <c r="C27" t="s">
        <v>69</v>
      </c>
      <c r="D27" t="s">
        <v>75</v>
      </c>
      <c r="E27" t="s">
        <v>49</v>
      </c>
      <c r="F27">
        <v>30</v>
      </c>
      <c r="G27">
        <v>17</v>
      </c>
      <c r="H27">
        <v>40</v>
      </c>
      <c r="I27">
        <v>8</v>
      </c>
    </row>
    <row r="28" spans="1:9" x14ac:dyDescent="0.3">
      <c r="A28" t="s">
        <v>33</v>
      </c>
      <c r="B28" t="s">
        <v>42</v>
      </c>
      <c r="C28" t="s">
        <v>76</v>
      </c>
      <c r="D28" t="s">
        <v>77</v>
      </c>
      <c r="E28" t="s">
        <v>49</v>
      </c>
      <c r="F28">
        <v>30</v>
      </c>
      <c r="G28">
        <v>12</v>
      </c>
      <c r="H28">
        <v>18</v>
      </c>
      <c r="I28">
        <v>7</v>
      </c>
    </row>
    <row r="29" spans="1:9" x14ac:dyDescent="0.3">
      <c r="A29" t="s">
        <v>34</v>
      </c>
      <c r="B29" t="s">
        <v>42</v>
      </c>
      <c r="C29" t="s">
        <v>76</v>
      </c>
      <c r="D29" t="s">
        <v>78</v>
      </c>
      <c r="E29" t="s">
        <v>49</v>
      </c>
      <c r="F29">
        <v>30</v>
      </c>
      <c r="G29">
        <v>15</v>
      </c>
      <c r="H29">
        <v>22</v>
      </c>
      <c r="I29">
        <v>8</v>
      </c>
    </row>
    <row r="30" spans="1:9" x14ac:dyDescent="0.3">
      <c r="A30" t="s">
        <v>35</v>
      </c>
      <c r="B30" t="s">
        <v>42</v>
      </c>
      <c r="C30" t="s">
        <v>76</v>
      </c>
      <c r="D30" t="s">
        <v>79</v>
      </c>
      <c r="E30" t="s">
        <v>49</v>
      </c>
      <c r="F30">
        <v>30</v>
      </c>
      <c r="G30">
        <v>13</v>
      </c>
      <c r="H30">
        <v>19</v>
      </c>
      <c r="I30">
        <v>7</v>
      </c>
    </row>
    <row r="31" spans="1:9" x14ac:dyDescent="0.3">
      <c r="A31" t="s">
        <v>36</v>
      </c>
      <c r="B31" t="s">
        <v>42</v>
      </c>
      <c r="C31" t="s">
        <v>76</v>
      </c>
      <c r="D31" t="s">
        <v>80</v>
      </c>
      <c r="E31" t="s">
        <v>49</v>
      </c>
      <c r="F31">
        <v>30</v>
      </c>
      <c r="G31">
        <v>14</v>
      </c>
      <c r="H31">
        <v>20</v>
      </c>
      <c r="I31">
        <v>9</v>
      </c>
    </row>
    <row r="32" spans="1:9" x14ac:dyDescent="0.3">
      <c r="A32" t="s">
        <v>37</v>
      </c>
      <c r="B32" t="s">
        <v>42</v>
      </c>
      <c r="C32" t="s">
        <v>76</v>
      </c>
      <c r="D32" t="s">
        <v>81</v>
      </c>
      <c r="E32" t="s">
        <v>49</v>
      </c>
      <c r="F32">
        <v>30</v>
      </c>
      <c r="G32">
        <v>14</v>
      </c>
      <c r="H32">
        <v>21</v>
      </c>
      <c r="I32">
        <v>7</v>
      </c>
    </row>
    <row r="33" spans="1:9" x14ac:dyDescent="0.3">
      <c r="A33" t="s">
        <v>38</v>
      </c>
      <c r="B33" t="s">
        <v>42</v>
      </c>
      <c r="C33" t="s">
        <v>82</v>
      </c>
      <c r="D33" t="s">
        <v>89</v>
      </c>
      <c r="E33" t="s">
        <v>49</v>
      </c>
      <c r="F33">
        <v>30</v>
      </c>
      <c r="G33">
        <v>3</v>
      </c>
      <c r="H33">
        <v>7</v>
      </c>
      <c r="I33">
        <v>11</v>
      </c>
    </row>
    <row r="34" spans="1:9" x14ac:dyDescent="0.3">
      <c r="A34" t="s">
        <v>39</v>
      </c>
      <c r="B34" t="s">
        <v>42</v>
      </c>
      <c r="C34" t="s">
        <v>82</v>
      </c>
      <c r="D34" t="s">
        <v>90</v>
      </c>
      <c r="E34" t="s">
        <v>49</v>
      </c>
      <c r="F34">
        <v>30</v>
      </c>
      <c r="G34">
        <v>4</v>
      </c>
      <c r="H34">
        <v>6</v>
      </c>
      <c r="I34">
        <v>7</v>
      </c>
    </row>
    <row r="35" spans="1:9" x14ac:dyDescent="0.3">
      <c r="A35" t="s">
        <v>40</v>
      </c>
      <c r="B35" t="s">
        <v>42</v>
      </c>
      <c r="C35" t="s">
        <v>82</v>
      </c>
      <c r="D35" t="s">
        <v>91</v>
      </c>
      <c r="E35" t="s">
        <v>49</v>
      </c>
      <c r="F35">
        <v>30</v>
      </c>
      <c r="G35">
        <v>3</v>
      </c>
      <c r="H35">
        <v>5</v>
      </c>
      <c r="I35" s="6">
        <v>3</v>
      </c>
    </row>
    <row r="36" spans="1:9" x14ac:dyDescent="0.3">
      <c r="A36" t="s">
        <v>41</v>
      </c>
      <c r="B36" t="s">
        <v>42</v>
      </c>
      <c r="C36" t="s">
        <v>82</v>
      </c>
      <c r="D36" t="s">
        <v>101</v>
      </c>
      <c r="E36" t="s">
        <v>49</v>
      </c>
      <c r="F36">
        <v>30</v>
      </c>
      <c r="G36">
        <v>3</v>
      </c>
      <c r="H36">
        <v>12</v>
      </c>
      <c r="I36">
        <v>22</v>
      </c>
    </row>
    <row r="37" spans="1:9" x14ac:dyDescent="0.3">
      <c r="A37" t="s">
        <v>83</v>
      </c>
      <c r="B37" t="s">
        <v>42</v>
      </c>
      <c r="C37" t="s">
        <v>82</v>
      </c>
      <c r="D37" t="s">
        <v>92</v>
      </c>
      <c r="E37" t="s">
        <v>49</v>
      </c>
      <c r="F37">
        <v>30</v>
      </c>
      <c r="G37">
        <v>3</v>
      </c>
      <c r="H37">
        <v>5</v>
      </c>
      <c r="I37">
        <v>14</v>
      </c>
    </row>
    <row r="38" spans="1:9" x14ac:dyDescent="0.3">
      <c r="A38" t="s">
        <v>84</v>
      </c>
      <c r="B38" t="s">
        <v>42</v>
      </c>
      <c r="C38" t="s">
        <v>93</v>
      </c>
      <c r="D38" t="s">
        <v>94</v>
      </c>
      <c r="E38" t="s">
        <v>49</v>
      </c>
      <c r="F38">
        <v>30</v>
      </c>
      <c r="G38">
        <v>4</v>
      </c>
      <c r="H38">
        <v>6</v>
      </c>
      <c r="I38">
        <v>45</v>
      </c>
    </row>
    <row r="39" spans="1:9" x14ac:dyDescent="0.3">
      <c r="A39" t="s">
        <v>85</v>
      </c>
      <c r="B39" t="s">
        <v>42</v>
      </c>
      <c r="C39" t="s">
        <v>93</v>
      </c>
      <c r="D39" t="s">
        <v>95</v>
      </c>
      <c r="E39" t="s">
        <v>49</v>
      </c>
      <c r="F39">
        <v>30</v>
      </c>
      <c r="G39">
        <v>3</v>
      </c>
      <c r="H39">
        <v>5</v>
      </c>
      <c r="I39">
        <v>14</v>
      </c>
    </row>
    <row r="40" spans="1:9" x14ac:dyDescent="0.3">
      <c r="A40" t="s">
        <v>86</v>
      </c>
      <c r="B40" t="s">
        <v>42</v>
      </c>
      <c r="C40" t="s">
        <v>93</v>
      </c>
      <c r="D40" t="s">
        <v>96</v>
      </c>
      <c r="E40" t="s">
        <v>49</v>
      </c>
      <c r="F40">
        <v>30</v>
      </c>
      <c r="G40">
        <v>4</v>
      </c>
      <c r="H40">
        <v>6</v>
      </c>
      <c r="I40">
        <v>17</v>
      </c>
    </row>
    <row r="41" spans="1:9" x14ac:dyDescent="0.3">
      <c r="A41" t="s">
        <v>87</v>
      </c>
      <c r="B41" t="s">
        <v>42</v>
      </c>
      <c r="C41" t="s">
        <v>93</v>
      </c>
      <c r="D41" t="s">
        <v>97</v>
      </c>
      <c r="E41" t="s">
        <v>49</v>
      </c>
      <c r="F41">
        <v>30</v>
      </c>
      <c r="G41">
        <v>5</v>
      </c>
      <c r="H41">
        <v>7</v>
      </c>
      <c r="I41">
        <v>14</v>
      </c>
    </row>
    <row r="42" spans="1:9" x14ac:dyDescent="0.3">
      <c r="A42" t="s">
        <v>88</v>
      </c>
      <c r="B42" t="s">
        <v>42</v>
      </c>
      <c r="C42" t="s">
        <v>93</v>
      </c>
      <c r="D42" t="s">
        <v>98</v>
      </c>
      <c r="E42" t="s">
        <v>49</v>
      </c>
      <c r="F42">
        <v>30</v>
      </c>
      <c r="G42">
        <v>5</v>
      </c>
      <c r="H42">
        <v>7</v>
      </c>
      <c r="I4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anasayfa</vt:lpstr>
      <vt:lpstr>alış</vt:lpstr>
      <vt:lpstr>stok</vt:lpstr>
      <vt:lpstr>satış</vt:lpstr>
      <vt:lpstr>Yıllık Rapor</vt:lpstr>
      <vt:lpstr>Aylık Rapor</vt:lpstr>
      <vt:lpstr>giderler</vt:lpstr>
      <vt:lpstr>Günlük Rapor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2025-12-24T18:23:45Z</dcterms:created>
  <dcterms:modified xsi:type="dcterms:W3CDTF">2026-01-05T22:13:34Z</dcterms:modified>
</cp:coreProperties>
</file>